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ea55a656b44e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48f1f419bbe48a1"/>
    <x:sheet xmlns:r="http://schemas.openxmlformats.org/officeDocument/2006/relationships" name="Proveedores" sheetId="2" r:id="Re00bff3c44634729"/>
    <x:sheet xmlns:r="http://schemas.openxmlformats.org/officeDocument/2006/relationships" name="Concentracion" sheetId="3" r:id="Rb36764f49ab4411f"/>
    <x:sheet xmlns:r="http://schemas.openxmlformats.org/officeDocument/2006/relationships" name="Prompts_ChatGPT" sheetId="4" r:id="R6a9a715c684d4c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$#,##0"/>
  </x:numFmts>
  <x:fonts count="8">
    <x:font>
      <x:sz val="11"/>
      <x:name val="Carlito"/>
    </x:font>
    <x:font>
      <x:sz val="10"/>
      <x:color rgb="FF1F1F1F"/>
      <x:name val="Arial"/>
    </x:font>
    <x:font>
      <x:b/>
      <x:sz val="16"/>
      <x:color rgb="FF174A5E"/>
      <x:name val="Arial"/>
    </x:font>
    <x:font>
      <x:b/>
      <x:i/>
      <x:sz val="10"/>
      <x:color rgb="FF666666"/>
      <x:name val="Arial"/>
    </x:font>
    <x:font>
      <x:i/>
      <x:sz val="10"/>
      <x:color rgb="FF666666"/>
      <x:name val="Arial"/>
    </x:font>
    <x:font>
      <x:b/>
      <x:sz val="11"/>
      <x:color rgb="FF174A5E"/>
      <x:name val="Arial"/>
    </x:font>
    <x:font>
      <x:b/>
      <x:sz val="10"/>
      <x:color rgb="FFFFFFFF"/>
      <x:name val="Arial"/>
    </x:font>
    <x:font>
      <x:b/>
      <x:sz val="10"/>
      <x:color rgb="FF174A5E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D9EAF0"/>
      </x:patternFill>
    </x:fill>
    <x:fill>
      <x:patternFill patternType="solid">
        <x:fgColor rgb="FFDCEAF2"/>
      </x:patternFill>
    </x:fill>
    <x:fill>
      <x:patternFill patternType="solid">
        <x:fgColor rgb="FF174A5E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e8a2fcbd92495b" /><Relationship Type="http://schemas.openxmlformats.org/officeDocument/2006/relationships/theme" Target="/xl/theme/theme1.xml" Id="Rbf351d5567a349bd" /><Relationship Type="http://schemas.openxmlformats.org/officeDocument/2006/relationships/sharedStrings" Target="/xl/sharedStrings.xml" Id="R910eb849a7b14776" /><Relationship Type="http://schemas.openxmlformats.org/officeDocument/2006/relationships/worksheet" Target="/xl/worksheets/sheet1.xml" Id="R848f1f419bbe48a1" /><Relationship Type="http://schemas.openxmlformats.org/officeDocument/2006/relationships/worksheet" Target="/xl/worksheets/sheet2.xml" Id="Re00bff3c44634729" /><Relationship Type="http://schemas.openxmlformats.org/officeDocument/2006/relationships/worksheet" Target="/xl/worksheets/sheet3.xml" Id="Rb36764f49ab4411f" /><Relationship Type="http://schemas.openxmlformats.org/officeDocument/2006/relationships/worksheet" Target="/xl/worksheets/sheet4.xml" Id="R6a9a715c684d4cb7" /></Relationships>
</file>

<file path=xl/tables/table1.xml><?xml version="1.0" encoding="utf-8"?>
<x:table xmlns:x="http://schemas.openxmlformats.org/spreadsheetml/2006/main" id="1" name="SupplierRisk" displayName="SupplierRisk" ref="D5:G10" headerRowCount="1" totalsRowCount="0" totalsRowShown="0">
  <x:tableColumns count="4">
    <x:tableColumn id="1" name="Proveedor"/>
    <x:tableColumn id="2" name="Entrega a tiempo"/>
    <x:tableColumn id="3" name="Ingresos expuestos"/>
    <x:tableColumn id="4" name="Riesg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pplierNotes" displayName="SupplierNotes" ref="A15:B19" headerRowCount="1" totalsRowCount="0" totalsRowShown="0">
  <x:tableColumns count="2">
    <x:tableColumn id="1" name="Hallazgo"/>
    <x:tableColumn id="2" name="Implicació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upplierDetail" displayName="SupplierDetail" ref="A4:L12" headerRowCount="1" totalsRowCount="0" totalsRowShown="0">
  <x:tableColumns count="12">
    <x:tableColumn id="1" name="Proveedor"/>
    <x:tableColumn id="2" name="Categoría"/>
    <x:tableColumn id="3" name="Compra anual MXN"/>
    <x:tableColumn id="4" name="Entrega a tiempo"/>
    <x:tableColumn id="5" name="Calidad conforme"/>
    <x:tableColumn id="6" name="Plazo días"/>
    <x:tableColumn id="7" name="Fuente única"/>
    <x:tableColumn id="8" name="Ingresos expuestos MXN"/>
    <x:tableColumn id="9" name="Materiales críticos"/>
    <x:tableColumn id="10" name="Riesgo"/>
    <x:tableColumn id="11" name="Acción"/>
    <x:tableColumn id="12" name="Evidenci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ncentration" displayName="Concentration" ref="A3:E7" headerRowCount="1" totalsRowCount="0" totalsRowShown="0">
  <x:tableColumns count="5">
    <x:tableColumn id="1" name="Categoría"/>
    <x:tableColumn id="2" name="Compra anual"/>
    <x:tableColumn id="3" name="Participación"/>
    <x:tableColumn id="4" name="Proveedores"/>
    <x:tableColumn id="5" name="Lectura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romptTable" displayName="PromptTable" ref="A4:D8" headerRowCount="1" totalsRowCount="0" totalsRowShown="0">
  <x:tableColumns count="4">
    <x:tableColumn id="1" name="N.º"/>
    <x:tableColumn id="2" name="Ejercicio"/>
    <x:tableColumn id="3" name="Prompt para copiar"/>
    <x:tableColumn id="4" name="Resultado esper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93932edc6c94756" /><Relationship Type="http://schemas.openxmlformats.org/officeDocument/2006/relationships/table" Target="/xl/tables/table2.xml" Id="R26c82be270a74de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14856ee6f0ba445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515fb73a48374d3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08d4760ee937498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9" hidden="0" customWidth="1"/>
    <x:col min="4" max="4" width="22" hidden="0" customWidth="1"/>
    <x:col min="5" max="5" width="18" hidden="0" customWidth="1"/>
    <x:col min="6" max="6" width="19" hidden="0" customWidth="1"/>
    <x:col min="7" max="7" width="18" hidden="0" customWidth="1"/>
  </x:cols>
  <x:sheetData>
    <x:row r="1" ht="15" hidden="0" customHeight="1">
      <x:c r="A1" s="4" t="str">
        <x:v>NovaDrive Components, S.A. de C.V. | Proveedores y riesgo de abastecimiento</x:v>
      </x:c>
      <x:c r="B1" s="4"/>
      <x:c r="C1" s="4"/>
      <x:c r="D1" s="4"/>
      <x:c r="E1" s="4"/>
      <x:c r="F1" s="4"/>
      <x:c r="G1" s="4"/>
      <x:c r="H1" s="4"/>
      <x:c r="I1" s="4"/>
      <x:c r="J1" s="4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5" hidden="0" customHeight="1">
      <x:c r="A2" s="5" t="str">
        <x:v>Caso sintético para capacitación con ChatGPT gratuito | Corte: septiembre de 2026</x:v>
      </x:c>
      <x:c r="B2" s="5"/>
      <x:c r="C2" s="5"/>
      <x:c r="D2" s="5"/>
      <x:c r="E2" s="5"/>
      <x:c r="F2" s="5"/>
      <x:c r="G2" s="5"/>
      <x:c r="H2" s="5"/>
      <x:c r="I2" s="5"/>
      <x:c r="J2" s="5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7" t="str">
        <x:v>Indicadores clave</x:v>
      </x:c>
      <x:c r="B4" s="7"/>
      <x:c r="C4" s="2"/>
      <x:c r="D4" s="7" t="str">
        <x:v>Proveedores prioritarios</x:v>
      </x:c>
      <x:c r="E4" s="7"/>
      <x:c r="F4" s="7"/>
      <x:c r="G4" s="7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 t="str">
        <x:v>Proveedores evaluados</x:v>
      </x:c>
      <x:c r="B5" s="10" t="n">
        <x:f>COUNTA(Proveedores!A5:A12)</x:f>
        <x:v>8</x:v>
      </x:c>
      <x:c r="C5" s="2"/>
      <x:c r="D5" s="16" t="str">
        <x:v>Proveedor</x:v>
      </x:c>
      <x:c r="E5" s="16" t="str">
        <x:v>Entrega a tiempo</x:v>
      </x:c>
      <x:c r="F5" s="16" t="str">
        <x:v>Ingresos expuestos</x:v>
      </x:c>
      <x:c r="G5" s="16" t="str">
        <x:v>Riesgo</x:v>
      </x:c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" hidden="0" customHeight="1">
      <x:c r="A6" s="2" t="str">
        <x:v>Entrega a tiempo promedio</x:v>
      </x:c>
      <x:c r="B6" s="11" t="n">
        <x:f>AVERAGE(Proveedores!D5:D12)</x:f>
        <x:v>0.9</x:v>
      </x:c>
      <x:c r="C6" s="2"/>
      <x:c r="D6" s="2" t="str">
        <x:f>Proveedores!A5</x:f>
        <x:v>Aceros del Norte</x:v>
      </x:c>
      <x:c r="E6" s="8" t="n">
        <x:f>Proveedores!D5</x:f>
        <x:v>0.86</x:v>
      </x:c>
      <x:c r="F6" s="9" t="n">
        <x:f>Proveedores!H5</x:f>
        <x:v>8500000</x:v>
      </x:c>
      <x:c r="G6" s="2" t="str">
        <x:f>Proveedores!J5</x:f>
        <x:v>Crítico</x:v>
      </x:c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5" hidden="0" customHeight="1">
      <x:c r="A7" s="2" t="str">
        <x:v>Proveedores críticos</x:v>
      </x:c>
      <x:c r="B7" s="10" t="n">
        <x:f>COUNTIF(Proveedores!J5:J12,"Crítico")</x:f>
        <x:v>3</x:v>
      </x:c>
      <x:c r="C7" s="2"/>
      <x:c r="D7" s="2" t="str">
        <x:f>Proveedores!A6</x:f>
        <x:v>Polímeros Andinos</x:v>
      </x:c>
      <x:c r="E7" s="8" t="n">
        <x:f>Proveedores!D6</x:f>
        <x:v>0.9</x:v>
      </x:c>
      <x:c r="F7" s="9" t="n">
        <x:f>Proveedores!H6</x:f>
        <x:v>6200000</x:v>
      </x:c>
      <x:c r="G7" s="2" t="str">
        <x:f>Proveedores!J6</x:f>
        <x:v>Alto</x:v>
      </x:c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15" hidden="0" customHeight="1">
      <x:c r="A8" s="2" t="str">
        <x:v>Compra anual MXN</x:v>
      </x:c>
      <x:c r="B8" s="12" t="n">
        <x:f>SUM(Proveedores!C5:C12)</x:f>
        <x:v>46100000</x:v>
      </x:c>
      <x:c r="C8" s="2"/>
      <x:c r="D8" s="2" t="str">
        <x:f>Proveedores!A7</x:f>
        <x:v>ElectroLink</x:v>
      </x:c>
      <x:c r="E8" s="8" t="n">
        <x:f>Proveedores!D7</x:f>
        <x:v>0.81</x:v>
      </x:c>
      <x:c r="F8" s="9" t="n">
        <x:f>Proveedores!H7</x:f>
        <x:v>6900000</x:v>
      </x:c>
      <x:c r="G8" s="2" t="str">
        <x:f>Proveedores!J7</x:f>
        <x:v>Crítico</x:v>
      </x:c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15" hidden="0" customHeight="1">
      <x:c r="A9" s="2" t="str">
        <x:v>Ingresos expuestos MXN</x:v>
      </x:c>
      <x:c r="B9" s="12" t="n">
        <x:f>SUM(Proveedores!H5:H12)</x:f>
        <x:v>30000000</x:v>
      </x:c>
      <x:c r="C9" s="2"/>
      <x:c r="D9" s="2" t="str">
        <x:f>Proveedores!A8</x:f>
        <x:v>Fundición Central</x:v>
      </x:c>
      <x:c r="E9" s="8" t="n">
        <x:f>Proveedores!D8</x:f>
        <x:v>0.92</x:v>
      </x:c>
      <x:c r="F9" s="9" t="n">
        <x:f>Proveedores!H8</x:f>
        <x:v>3300000</x:v>
      </x:c>
      <x:c r="G9" s="2" t="str">
        <x:f>Proveedores!J8</x:f>
        <x:v>Moderado</x:v>
      </x:c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5" hidden="0" customHeight="1">
      <x:c r="A10" s="2" t="str">
        <x:v>Estado de abastecimiento</x:v>
      </x:c>
      <x:c r="B10" s="10" t="str">
        <x:f>IF(B7&gt;0,"Mitigación requerida","Controlado")</x:f>
        <x:v>Mitigación requerida</x:v>
      </x:c>
      <x:c r="C10" s="2"/>
      <x:c r="D10" s="2" t="str">
        <x:f>Proveedores!A9</x:f>
        <x:v>Quimex Auto</x:v>
      </x:c>
      <x:c r="E10" s="8" t="n">
        <x:f>Proveedores!D9</x:f>
        <x:v>0.95</x:v>
      </x:c>
      <x:c r="F10" s="9" t="n">
        <x:f>Proveedores!H9</x:f>
        <x:v>1600000</x:v>
      </x:c>
      <x:c r="G10" s="2" t="str">
        <x:f>Proveedores!J9</x:f>
        <x:v>Moderado</x:v>
      </x:c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5" hidden="0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15" hidden="0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5" hidden="0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7" t="str">
        <x:v>Implicaciones</x:v>
      </x:c>
      <x:c r="B14" s="7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16" t="str">
        <x:v>Hallazgo</x:v>
      </x:c>
      <x:c r="B15" s="16" t="str">
        <x:v>Implicación</x:v>
      </x:c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2" t="str">
        <x:v>Fuente única</x:v>
      </x:c>
      <x:c r="B16" s="2" t="str">
        <x:v>Requiere alterno aprobado o inventario de protección.</x:v>
      </x:c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2" t="str">
        <x:v>Calidad</x:v>
      </x:c>
      <x:c r="B17" s="2" t="str">
        <x:v>Los rechazos pueden retrasar la rampa.</x:v>
      </x:c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 t="str">
        <x:v>Logística</x:v>
      </x:c>
      <x:c r="B18" s="2" t="str">
        <x:v>Plazos largos elevan el riesgo de faltantes.</x:v>
      </x:c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 t="str">
        <x:v>Siguiente paso</x:v>
      </x:c>
      <x:c r="B19" s="2" t="str">
        <x:v>Asignar dueño y fecha a cada plan de mitigación.</x:v>
      </x:c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36" hidden="0" customHeight="1">
      <x:c r="A23" s="17" t="str">
        <x:v>Nota</x:v>
      </x:c>
      <x:c r="B23" s="18" t="str">
        <x:v>El riesgo combina entrega, calidad, plazo y dependencia.</x:v>
      </x:c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36" hidden="0" customHeight="1">
      <x:c r="A24" s="17" t="str">
        <x:v>Uso</x:v>
      </x:c>
      <x:c r="B24" s="18" t="str">
        <x:v>Pida primero el ranking y después el plan de mitigación.</x:v>
      </x:c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36" hidden="0" customHeight="1">
      <x:c r="A25" s="17" t="str">
        <x:v>Límite</x:v>
      </x:c>
      <x:c r="B25" s="18" t="str">
        <x:v>Ingresos expuestos son una aproximación sintética.</x:v>
      </x:c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24" hidden="0" customHeight="1">
      <x:c r="A26" s="17" t="str">
        <x:v>Datos</x:v>
      </x:c>
      <x:c r="B26" s="18" t="str">
        <x:v>Todos los valores son sintéticos y editables.</x:v>
      </x:c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</x:sheetData>
  <x:mergeCells>
    <x:mergeCell ref="A1:J1"/>
    <x:mergeCell ref="A1:J2"/>
    <x:mergeCell ref="A4:B4"/>
    <x:mergeCell ref="D4:G4"/>
    <x:mergeCell ref="A14:B14"/>
  </x:mergeCells>
  <x:pageMargins left="0.7" right="0.7" top="0.75" bottom="0.75" header="0.3" footer="0.3"/>
  <x:tableParts count="2">
    <x:tablePart xmlns:r="http://schemas.openxmlformats.org/officeDocument/2006/relationships" r:id="Ra93932edc6c94756"/>
    <x:tablePart xmlns:r="http://schemas.openxmlformats.org/officeDocument/2006/relationships" r:id="R26c82be270a74de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7" hidden="0" customWidth="1"/>
    <x:col min="3" max="3" width="17" hidden="0" customWidth="1"/>
    <x:col min="4" max="4" width="17" hidden="0" customWidth="1"/>
    <x:col min="5" max="5" width="16" hidden="0" customWidth="1"/>
    <x:col min="6" max="6" width="13" hidden="0" customWidth="1"/>
    <x:col min="7" max="7" width="12" hidden="0" customWidth="1"/>
    <x:col min="8" max="8" width="19" hidden="0" customWidth="1"/>
    <x:col min="9" max="9" width="25" hidden="0" customWidth="1"/>
    <x:col min="10" max="10" width="15" hidden="0" customWidth="1"/>
    <x:col min="11" max="11" width="22" hidden="0" customWidth="1"/>
    <x:col min="12" max="12" width="24" hidden="0" customWidth="1"/>
  </x:cols>
  <x:sheetData>
    <x:row r="1" ht="15" hidden="0" customHeight="1">
      <x:c r="A1" s="2" t="str">
        <x:v>NovaDrive Components, S.A. de C.V. | Evaluación de proveedores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5" hidden="0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24" hidden="0" customHeight="1">
      <x:c r="A4" s="16" t="str">
        <x:v>Proveedor</x:v>
      </x:c>
      <x:c r="B4" s="16" t="str">
        <x:v>Categoría</x:v>
      </x:c>
      <x:c r="C4" s="16" t="str">
        <x:v>Compra anual MXN</x:v>
      </x:c>
      <x:c r="D4" s="16" t="str">
        <x:v>Entrega a tiempo</x:v>
      </x:c>
      <x:c r="E4" s="16" t="str">
        <x:v>Calidad conforme</x:v>
      </x:c>
      <x:c r="F4" s="16" t="str">
        <x:v>Plazo días</x:v>
      </x:c>
      <x:c r="G4" s="16" t="str">
        <x:v>Fuente única</x:v>
      </x:c>
      <x:c r="H4" s="16" t="str">
        <x:v>Ingresos expuestos MXN</x:v>
      </x:c>
      <x:c r="I4" s="16" t="str">
        <x:v>Materiales críticos</x:v>
      </x:c>
      <x:c r="J4" s="16" t="str">
        <x:v>Riesgo</x:v>
      </x:c>
      <x:c r="K4" s="16" t="str">
        <x:v>Acción</x:v>
      </x:c>
      <x:c r="L4" s="16" t="str">
        <x:v>Evidencia</x:v>
      </x:c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 t="str">
        <x:v>Aceros del Norte</x:v>
      </x:c>
      <x:c r="B5" s="2" t="str">
        <x:v>Metales</x:v>
      </x:c>
      <x:c r="C5" s="9" t="n">
        <x:v>13200000</x:v>
      </x:c>
      <x:c r="D5" s="8" t="n">
        <x:v>0.86</x:v>
      </x:c>
      <x:c r="E5" s="8" t="n">
        <x:v>0.95</x:v>
      </x:c>
      <x:c r="F5" s="2" t="n">
        <x:v>21</x:v>
      </x:c>
      <x:c r="G5" s="2" t="str">
        <x:v>Sí</x:v>
      </x:c>
      <x:c r="H5" s="9" t="n">
        <x:v>8500000</x:v>
      </x:c>
      <x:c r="I5" s="2" t="str">
        <x:v>Acero eléctrico</x:v>
      </x:c>
      <x:c r="J5" s="2" t="str">
        <x:f>IF(OR(D5&lt;0.85,E5&lt;0.9,G5="Sí"),"Crítico",IF(OR(D5&lt;0.92,F5&gt;20),"Alto","Moderado"))</x:f>
        <x:v>Crítico</x:v>
      </x:c>
      <x:c r="K5" s="2" t="str">
        <x:v>Aprobar alterno</x:v>
      </x:c>
      <x:c r="L5" s="2" t="str">
        <x:v>Plan de continuidad</x:v>
      </x:c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" hidden="0" customHeight="1">
      <x:c r="A6" s="2" t="str">
        <x:v>Polímeros Andinos</x:v>
      </x:c>
      <x:c r="B6" s="2" t="str">
        <x:v>Polímeros</x:v>
      </x:c>
      <x:c r="C6" s="9" t="n">
        <x:v>9800000</x:v>
      </x:c>
      <x:c r="D6" s="8" t="n">
        <x:v>0.9</x:v>
      </x:c>
      <x:c r="E6" s="8" t="n">
        <x:v>0.93</x:v>
      </x:c>
      <x:c r="F6" s="2" t="n">
        <x:v>28</x:v>
      </x:c>
      <x:c r="G6" s="2" t="str">
        <x:v>No</x:v>
      </x:c>
      <x:c r="H6" s="9" t="n">
        <x:v>6200000</x:v>
      </x:c>
      <x:c r="I6" s="2" t="str">
        <x:v>Resina PA66, policarbonato</x:v>
      </x:c>
      <x:c r="J6" s="2" t="str">
        <x:f>IF(OR(D6&lt;0.85,E6&lt;0.9,G6="Sí"),"Crítico",IF(OR(D6&lt;0.92,F6&gt;20),"Alto","Moderado"))</x:f>
        <x:v>Alto</x:v>
      </x:c>
      <x:c r="K6" s="2" t="str">
        <x:v>Validar capacidad</x:v>
      </x:c>
      <x:c r="L6" s="2" t="str">
        <x:v>Confirmación mensual</x:v>
      </x:c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5" hidden="0" customHeight="1">
      <x:c r="A7" s="2" t="str">
        <x:v>ElectroLink</x:v>
      </x:c>
      <x:c r="B7" s="2" t="str">
        <x:v>Eléctrico</x:v>
      </x:c>
      <x:c r="C7" s="9" t="n">
        <x:v>7600000</x:v>
      </x:c>
      <x:c r="D7" s="8" t="n">
        <x:v>0.81</x:v>
      </x:c>
      <x:c r="E7" s="8" t="n">
        <x:v>0.89</x:v>
      </x:c>
      <x:c r="F7" s="2" t="n">
        <x:v>30</x:v>
      </x:c>
      <x:c r="G7" s="2" t="str">
        <x:v>Sí</x:v>
      </x:c>
      <x:c r="H7" s="9" t="n">
        <x:v>6900000</x:v>
      </x:c>
      <x:c r="I7" s="2" t="str">
        <x:v>Conector HV, terminal cobre</x:v>
      </x:c>
      <x:c r="J7" s="2" t="str">
        <x:f>IF(OR(D7&lt;0.85,E7&lt;0.9,G7="Sí"),"Crítico",IF(OR(D7&lt;0.92,F7&gt;20),"Alto","Moderado"))</x:f>
        <x:v>Crítico</x:v>
      </x:c>
      <x:c r="K7" s="2" t="str">
        <x:v>Escalar proveedor</x:v>
      </x:c>
      <x:c r="L7" s="2" t="str">
        <x:v>Plan de recuperación</x:v>
      </x:c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15" hidden="0" customHeight="1">
      <x:c r="A8" s="2" t="str">
        <x:v>Fundición Central</x:v>
      </x:c>
      <x:c r="B8" s="2" t="str">
        <x:v>Metales</x:v>
      </x:c>
      <x:c r="C8" s="9" t="n">
        <x:v>5400000</x:v>
      </x:c>
      <x:c r="D8" s="8" t="n">
        <x:v>0.92</x:v>
      </x:c>
      <x:c r="E8" s="8" t="n">
        <x:v>0.94</x:v>
      </x:c>
      <x:c r="F8" s="2" t="n">
        <x:v>20</x:v>
      </x:c>
      <x:c r="G8" s="2" t="str">
        <x:v>No</x:v>
      </x:c>
      <x:c r="H8" s="9" t="n">
        <x:v>3300000</x:v>
      </x:c>
      <x:c r="I8" s="2" t="str">
        <x:v>Aluminio fundido</x:v>
      </x:c>
      <x:c r="J8" s="2" t="str">
        <x:f>IF(OR(D8&lt;0.85,E8&lt;0.9,G8="Sí"),"Crítico",IF(OR(D8&lt;0.92,F8&gt;20),"Alto","Moderado"))</x:f>
        <x:v>Moderado</x:v>
      </x:c>
      <x:c r="K8" s="2" t="str">
        <x:v>Mantener control</x:v>
      </x:c>
      <x:c r="L8" s="2" t="str">
        <x:v>Capacidad confirmada</x:v>
      </x:c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15" hidden="0" customHeight="1">
      <x:c r="A9" s="2" t="str">
        <x:v>Quimex Auto</x:v>
      </x:c>
      <x:c r="B9" s="2" t="str">
        <x:v>Químicos</x:v>
      </x:c>
      <x:c r="C9" s="9" t="n">
        <x:v>3600000</x:v>
      </x:c>
      <x:c r="D9" s="8" t="n">
        <x:v>0.95</x:v>
      </x:c>
      <x:c r="E9" s="8" t="n">
        <x:v>0.97</x:v>
      </x:c>
      <x:c r="F9" s="2" t="n">
        <x:v>14</x:v>
      </x:c>
      <x:c r="G9" s="2" t="str">
        <x:v>No</x:v>
      </x:c>
      <x:c r="H9" s="9" t="n">
        <x:v>1600000</x:v>
      </x:c>
      <x:c r="I9" s="2" t="str">
        <x:v>Pintura, adhesivo</x:v>
      </x:c>
      <x:c r="J9" s="2" t="str">
        <x:f>IF(OR(D9&lt;0.85,E9&lt;0.9,G9="Sí"),"Crítico",IF(OR(D9&lt;0.92,F9&gt;20),"Alto","Moderado"))</x:f>
        <x:v>Moderado</x:v>
      </x:c>
      <x:c r="K9" s="2" t="str">
        <x:v>Mantener control</x:v>
      </x:c>
      <x:c r="L9" s="2" t="str">
        <x:v>Certificados</x:v>
      </x:c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5" hidden="0" customHeight="1">
      <x:c r="A10" s="2" t="str">
        <x:v>Interiores MX</x:v>
      </x:c>
      <x:c r="B10" s="2" t="str">
        <x:v>Interior</x:v>
      </x:c>
      <x:c r="C10" s="9" t="n">
        <x:v>2500000</x:v>
      </x:c>
      <x:c r="D10" s="8" t="n">
        <x:v>0.88</x:v>
      </x:c>
      <x:c r="E10" s="8" t="n">
        <x:v>0.92</x:v>
      </x:c>
      <x:c r="F10" s="2" t="n">
        <x:v>19</x:v>
      </x:c>
      <x:c r="G10" s="2" t="str">
        <x:v>Sí</x:v>
      </x:c>
      <x:c r="H10" s="9" t="n">
        <x:v>1400000</x:v>
      </x:c>
      <x:c r="I10" s="2" t="str">
        <x:v>Espuma acústica</x:v>
      </x:c>
      <x:c r="J10" s="2" t="str">
        <x:f>IF(OR(D10&lt;0.85,E10&lt;0.9,G10="Sí"),"Crítico",IF(OR(D10&lt;0.92,F10&gt;20),"Alto","Moderado"))</x:f>
        <x:v>Crítico</x:v>
      </x:c>
      <x:c r="K10" s="2" t="str">
        <x:v>Buscar alterno</x:v>
      </x:c>
      <x:c r="L10" s="2" t="str">
        <x:v>Muestra homologada</x:v>
      </x:c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5" hidden="0" customHeight="1">
      <x:c r="A11" s="2" t="str">
        <x:v>Sellos del Bajío</x:v>
      </x:c>
      <x:c r="B11" s="2" t="str">
        <x:v>Sellos</x:v>
      </x:c>
      <x:c r="C11" s="9" t="n">
        <x:v>2900000</x:v>
      </x:c>
      <x:c r="D11" s="8" t="n">
        <x:v>0.91</x:v>
      </x:c>
      <x:c r="E11" s="8" t="n">
        <x:v>0.96</x:v>
      </x:c>
      <x:c r="F11" s="2" t="n">
        <x:v>24</x:v>
      </x:c>
      <x:c r="G11" s="2" t="str">
        <x:v>No</x:v>
      </x:c>
      <x:c r="H11" s="9" t="n">
        <x:v>1700000</x:v>
      </x:c>
      <x:c r="I11" s="2" t="str">
        <x:v>Caucho EPDM</x:v>
      </x:c>
      <x:c r="J11" s="2" t="str">
        <x:f>IF(OR(D11&lt;0.85,E11&lt;0.9,G11="Sí"),"Crítico",IF(OR(D11&lt;0.92,F11&gt;20),"Alto","Moderado"))</x:f>
        <x:v>Alto</x:v>
      </x:c>
      <x:c r="K11" s="2" t="str">
        <x:v>Revisar inventario</x:v>
      </x:c>
      <x:c r="L11" s="2" t="str">
        <x:v>Fechas de entrega</x:v>
      </x:c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15" hidden="0" customHeight="1">
      <x:c r="A12" s="2" t="str">
        <x:v>Suministros Auto</x:v>
      </x:c>
      <x:c r="B12" s="2" t="str">
        <x:v>Consumibles</x:v>
      </x:c>
      <x:c r="C12" s="9" t="n">
        <x:v>1100000</x:v>
      </x:c>
      <x:c r="D12" s="8" t="n">
        <x:v>0.97</x:v>
      </x:c>
      <x:c r="E12" s="8" t="n">
        <x:v>0.98</x:v>
      </x:c>
      <x:c r="F12" s="2" t="n">
        <x:v>10</x:v>
      </x:c>
      <x:c r="G12" s="2" t="str">
        <x:v>No</x:v>
      </x:c>
      <x:c r="H12" s="9" t="n">
        <x:v>400000</x:v>
      </x:c>
      <x:c r="I12" s="2" t="str">
        <x:v>Etiquetas</x:v>
      </x:c>
      <x:c r="J12" s="2" t="str">
        <x:f>IF(OR(D12&lt;0.85,E12&lt;0.9,G12="Sí"),"Crítico",IF(OR(D12&lt;0.92,F12&gt;20),"Alto","Moderado"))</x:f>
        <x:v>Moderado</x:v>
      </x:c>
      <x:c r="K12" s="2" t="str">
        <x:v>Mantener control</x:v>
      </x:c>
      <x:c r="L12" s="2" t="str">
        <x:v>OTIF mensual</x:v>
      </x:c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5" hidden="0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4856ee6f0ba445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16" hidden="0" customWidth="1"/>
    <x:col min="4" max="4" width="14" hidden="0" customWidth="1"/>
    <x:col min="5" max="5" width="30" hidden="0" customWidth="1"/>
  </x:cols>
  <x:sheetData>
    <x:row r="1" ht="15" hidden="0" customHeight="1">
      <x:c r="A1" s="2" t="str">
        <x:v>Concentración sintética por categoría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5" hidden="0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16" t="str">
        <x:v>Categoría</x:v>
      </x:c>
      <x:c r="B3" s="16" t="str">
        <x:v>Compra anual</x:v>
      </x:c>
      <x:c r="C3" s="16" t="str">
        <x:v>Participación</x:v>
      </x:c>
      <x:c r="D3" s="16" t="str">
        <x:v>Proveedores</x:v>
      </x:c>
      <x:c r="E3" s="16" t="str">
        <x:v>Lectura</x:v>
      </x:c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 t="str">
        <x:v>Metales</x:v>
      </x:c>
      <x:c r="B4" s="9" t="n">
        <x:f>SUMIF(Proveedores!B$5:B$12,A4,Proveedores!C$5:C$12)</x:f>
        <x:v>18600000</x:v>
      </x:c>
      <x:c r="C4" s="8" t="n">
        <x:f>B4/SUM($B$4:$B$7)</x:f>
        <x:v>0.403470715835141</x:v>
      </x:c>
      <x:c r="D4" s="2" t="n">
        <x:v>2</x:v>
      </x:c>
      <x:c r="E4" s="2" t="str">
        <x:v>Concentra acero y aluminio</x:v>
      </x:c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 t="str">
        <x:v>Polímeros</x:v>
      </x:c>
      <x:c r="B5" s="9" t="n">
        <x:f>SUMIF(Proveedores!B$5:B$12,A5,Proveedores!C$5:C$12)</x:f>
        <x:v>9800000</x:v>
      </x:c>
      <x:c r="C5" s="8" t="n">
        <x:f>B5/SUM($B$4:$B$7)</x:f>
        <x:v>0.21258134490238612</x:v>
      </x:c>
      <x:c r="D5" s="2" t="n">
        <x:v>1</x:v>
      </x:c>
      <x:c r="E5" s="2" t="str">
        <x:v>Dependencia relevante</x:v>
      </x:c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" hidden="0" customHeight="1">
      <x:c r="A6" s="2" t="str">
        <x:v>Eléctrico</x:v>
      </x:c>
      <x:c r="B6" s="9" t="n">
        <x:f>SUMIF(Proveedores!B$5:B$12,A6,Proveedores!C$5:C$12)</x:f>
        <x:v>7600000</x:v>
      </x:c>
      <x:c r="C6" s="8" t="n">
        <x:f>B6/SUM($B$4:$B$7)</x:f>
        <x:v>0.1648590021691974</x:v>
      </x:c>
      <x:c r="D6" s="2" t="n">
        <x:v>1</x:v>
      </x:c>
      <x:c r="E6" s="2" t="str">
        <x:v>Fuente única para HV</x:v>
      </x:c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5" hidden="0" customHeight="1">
      <x:c r="A7" s="2" t="str">
        <x:v>Otros</x:v>
      </x:c>
      <x:c r="B7" s="9" t="n">
        <x:f>SUM(Proveedores!C$5:C$12)-SUM(B4:B6)</x:f>
        <x:v>10100000</x:v>
      </x:c>
      <x:c r="C7" s="8" t="n">
        <x:f>B7/SUM($B$4:$B$7)</x:f>
        <x:v>0.21908893709327548</x:v>
      </x:c>
      <x:c r="D7" s="2" t="n">
        <x:v>4</x:v>
      </x:c>
      <x:c r="E7" s="2" t="str">
        <x:v>Riesgo distribuido</x:v>
      </x:c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15" hidden="0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15" hidden="0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5" hidden="0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5" hidden="0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15" hidden="0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5" hidden="0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15fb73a48374d3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24" hidden="0" customWidth="1"/>
    <x:col min="3" max="3" width="95" hidden="0" customWidth="1"/>
    <x:col min="4" max="4" width="38" hidden="0" customWidth="1"/>
  </x:cols>
  <x:sheetData>
    <x:row r="1" ht="15" hidden="0" customHeight="1">
      <x:c r="A1" s="4" t="str">
        <x:v>NovaDrive Components, S.A. de C.V. | Prompts para ChatGPT</x:v>
      </x:c>
      <x:c r="B1" s="4"/>
      <x:c r="C1" s="4"/>
      <x:c r="D1" s="4"/>
    </x:row>
    <x:row r="2">
      <x:c r="A2" s="5" t="str">
        <x:v>Caso sintético para capacitación con ChatGPT gratuito | Corte: septiembre de 2026</x:v>
      </x:c>
      <x:c r="B2" s="5"/>
      <x:c r="C2" s="5"/>
      <x:c r="D2" s="5"/>
    </x:row>
    <x:row r="3" ht="15" hidden="0" customHeight="1">
      <x:c r="A3" s="2"/>
      <x:c r="B3" s="2"/>
      <x:c r="C3" s="2"/>
      <x:c r="D3" s="2"/>
    </x:row>
    <x:row r="4" ht="15" hidden="0" customHeight="1">
      <x:c r="A4" s="16" t="str">
        <x:v>N.º</x:v>
      </x:c>
      <x:c r="B4" s="16" t="str">
        <x:v>Ejercicio</x:v>
      </x:c>
      <x:c r="C4" s="16" t="str">
        <x:v>Prompt para copiar</x:v>
      </x:c>
      <x:c r="D4" s="16" t="str">
        <x:v>Resultado esperado</x:v>
      </x:c>
    </x:row>
    <x:row r="5" ht="15" hidden="0" customHeight="1">
      <x:c r="A5" s="2" t="n">
        <x:v>1</x:v>
      </x:c>
      <x:c r="B5" s="2" t="str">
        <x:v>Ranking</x:v>
      </x:c>
      <x:c r="C5" s="2" t="str">
        <x:v>Analiza el desempeño de proveedores y crea un ranking de riesgo con evidencia.</x:v>
      </x:c>
      <x:c r="D5" s="2" t="str">
        <x:v>Ranking y justificación</x:v>
      </x:c>
    </x:row>
    <x:row r="6" ht="15" hidden="0" customHeight="1">
      <x:c r="A6" s="2" t="n">
        <x:v>2</x:v>
      </x:c>
      <x:c r="B6" s="2" t="str">
        <x:v>Mitigación</x:v>
      </x:c>
      <x:c r="C6" s="2" t="str">
        <x:v>Propón un plan para proveedores críticos sin inventar personas ni fechas exactas.</x:v>
      </x:c>
      <x:c r="D6" s="2" t="str">
        <x:v>Plan funcional</x:v>
      </x:c>
    </x:row>
    <x:row r="7" ht="15" hidden="0" customHeight="1">
      <x:c r="A7" s="2" t="n">
        <x:v>3</x:v>
      </x:c>
      <x:c r="B7" s="2" t="str">
        <x:v>Preguntas</x:v>
      </x:c>
      <x:c r="C7" s="2" t="str">
        <x:v>Escribe preguntas para validar entrega, calidad, capacidad y alternos.</x:v>
      </x:c>
      <x:c r="D7" s="2" t="str">
        <x:v>Guion de revisión</x:v>
      </x:c>
    </x:row>
    <x:row r="8" ht="15" hidden="0" customHeight="1">
      <x:c r="A8" s="2" t="n">
        <x:v>4</x:v>
      </x:c>
      <x:c r="B8" s="2" t="str">
        <x:v>Crítica</x:v>
      </x:c>
      <x:c r="C8" s="2" t="str">
        <x:v>¿Qué limitaciones tiene el puntaje? Separa datos medidos y supuestos.</x:v>
      </x:c>
      <x:c r="D8" s="2" t="str">
        <x:v>Crítica metodológica</x:v>
      </x:c>
    </x:row>
    <x:row r="9" ht="15" hidden="0" customHeight="1">
      <x:c r="A9" s="2"/>
      <x:c r="B9" s="2"/>
      <x:c r="C9" s="2"/>
      <x:c r="D9" s="2"/>
    </x:row>
    <x:row r="10" ht="15" hidden="0" customHeight="1">
      <x:c r="A10" s="2"/>
      <x:c r="B10" s="2"/>
      <x:c r="C10" s="2"/>
      <x:c r="D10" s="2"/>
    </x:row>
    <x:row r="11" ht="15" hidden="0" customHeight="1">
      <x:c r="A11" s="2"/>
      <x:c r="B11" s="2"/>
      <x:c r="C11" s="2"/>
      <x:c r="D11" s="2"/>
    </x:row>
    <x:row r="12" ht="15" hidden="0" customHeight="1">
      <x:c r="A12" s="2"/>
      <x:c r="B12" s="2"/>
      <x:c r="C12" s="2"/>
      <x:c r="D12" s="2"/>
    </x:row>
    <x:row r="13" ht="15" hidden="0" customHeight="1">
      <x:c r="A13" s="2"/>
      <x:c r="B13" s="2"/>
      <x:c r="C13" s="2"/>
      <x:c r="D13" s="2"/>
    </x:row>
    <x:row r="14" ht="15" hidden="0" customHeight="1">
      <x:c r="A14" s="2"/>
      <x:c r="B14" s="2"/>
      <x:c r="C14" s="2"/>
      <x:c r="D14" s="2"/>
    </x:row>
    <x:row r="15" ht="15" hidden="0" customHeight="1">
      <x:c r="A15" s="2"/>
      <x:c r="B15" s="2"/>
      <x:c r="C15" s="2"/>
      <x:c r="D15" s="2"/>
    </x:row>
    <x:row r="16" ht="15" hidden="0" customHeight="1">
      <x:c r="A16" s="2"/>
      <x:c r="B16" s="2"/>
      <x:c r="C16" s="2"/>
      <x:c r="D16" s="2"/>
    </x:row>
    <x:row r="17" ht="15" hidden="0" customHeight="1">
      <x:c r="A17" s="2"/>
      <x:c r="B17" s="2"/>
      <x:c r="C17" s="2"/>
      <x:c r="D17" s="2"/>
    </x:row>
    <x:row r="18" ht="15" hidden="0" customHeight="1">
      <x:c r="A18" s="2"/>
      <x:c r="B18" s="2"/>
      <x:c r="C18" s="2"/>
      <x:c r="D18" s="2"/>
    </x:row>
    <x:row r="19" ht="15" hidden="0" customHeight="1">
      <x:c r="A19" s="2"/>
      <x:c r="B19" s="2"/>
      <x:c r="C19" s="2"/>
      <x:c r="D19" s="2"/>
    </x:row>
    <x:row r="20" ht="15" hidden="0" customHeight="1">
      <x:c r="A20" s="2"/>
      <x:c r="B20" s="2"/>
      <x:c r="C20" s="2"/>
      <x:c r="D20" s="2"/>
    </x:row>
  </x:sheetData>
  <x:mergeCells>
    <x:mergeCell ref="A1:D1"/>
    <x:mergeCell ref="A1:D2"/>
  </x:mergeCells>
  <x:pageMargins left="0.7" right="0.7" top="0.75" bottom="0.75" header="0.3" footer="0.3"/>
  <x:tableParts count="1">
    <x:tablePart xmlns:r="http://schemas.openxmlformats.org/officeDocument/2006/relationships" r:id="R08d4760ee9374989"/>
  </x:tableParts>
</x:worksheet>
</file>