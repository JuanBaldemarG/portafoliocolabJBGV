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bd88a695bd44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8269ad2549f461d"/>
    <x:sheet xmlns:r="http://schemas.openxmlformats.org/officeDocument/2006/relationships" name="Detalle_Demanda" sheetId="2" r:id="R153737e54e3941b7"/>
    <x:sheet xmlns:r="http://schemas.openxmlformats.org/officeDocument/2006/relationships" name="Prompts_ChatGPT" sheetId="3" r:id="Rb6fdd39e37d64d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.0%"/>
  </x:numFmts>
  <x:fonts count="8">
    <x:font>
      <x:sz val="11"/>
      <x:name val="Carlito"/>
    </x:font>
    <x:font>
      <x:sz val="10"/>
      <x:color rgb="FF1F1F1F"/>
      <x:name val="Arial"/>
    </x:font>
    <x:font>
      <x:b/>
      <x:sz val="16"/>
      <x:color rgb="FF174A5E"/>
      <x:name val="Arial"/>
    </x:font>
    <x:font>
      <x:b/>
      <x:i/>
      <x:sz val="10"/>
      <x:color rgb="FF666666"/>
      <x:name val="Arial"/>
    </x:font>
    <x:font>
      <x:i/>
      <x:sz val="10"/>
      <x:color rgb="FF666666"/>
      <x:name val="Arial"/>
    </x:font>
    <x:font>
      <x:b/>
      <x:sz val="11"/>
      <x:color rgb="FF174A5E"/>
      <x:name val="Arial"/>
    </x:font>
    <x:font>
      <x:b/>
      <x:sz val="10"/>
      <x:color rgb="FFFFFFFF"/>
      <x:name val="Arial"/>
    </x:font>
    <x:font>
      <x:b/>
      <x:sz val="10"/>
      <x:color rgb="FF174A5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0"/>
      </x:patternFill>
    </x:fill>
    <x:fill>
      <x:patternFill patternType="solid">
        <x:fgColor rgb="FFDCEAF2"/>
      </x:patternFill>
    </x:fill>
    <x:fill>
      <x:patternFill patternType="solid">
        <x:fgColor rgb="FF174A5E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e6a42f99014f27" /><Relationship Type="http://schemas.openxmlformats.org/officeDocument/2006/relationships/theme" Target="/xl/theme/theme1.xml" Id="R56d5c00d10d44410" /><Relationship Type="http://schemas.openxmlformats.org/officeDocument/2006/relationships/sharedStrings" Target="/xl/sharedStrings.xml" Id="R04a25fd133de4366" /><Relationship Type="http://schemas.openxmlformats.org/officeDocument/2006/relationships/worksheet" Target="/xl/worksheets/sheet1.xml" Id="Rd8269ad2549f461d" /><Relationship Type="http://schemas.openxmlformats.org/officeDocument/2006/relationships/worksheet" Target="/xl/worksheets/sheet2.xml" Id="R153737e54e3941b7" /><Relationship Type="http://schemas.openxmlformats.org/officeDocument/2006/relationships/worksheet" Target="/xl/worksheets/sheet3.xml" Id="Rb6fdd39e37d64d85" /></Relationships>
</file>

<file path=xl/tables/table1.xml><?xml version="1.0" encoding="utf-8"?>
<x:table xmlns:x="http://schemas.openxmlformats.org/spreadsheetml/2006/main" id="1" name="ProgramTable" displayName="ProgramTable" ref="D5:G9" headerRowCount="1" totalsRowCount="0" totalsRowShown="0">
  <x:tableColumns count="4">
    <x:tableColumn id="1" name="Programa"/>
    <x:tableColumn id="2" name="Incremento unidades"/>
    <x:tableColumn id="3" name="Ingreso incremental"/>
    <x:tableColumn id="4" name="Participa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mandTop" displayName="DemandTop" ref="A14:H19" headerRowCount="1" totalsRowCount="0" totalsRowShown="0">
  <x:tableColumns count="8">
    <x:tableColumn id="1" name="Cliente"/>
    <x:tableColumn id="2" name="Programa"/>
    <x:tableColumn id="3" name="SKU"/>
    <x:tableColumn id="4" name="Incremento"/>
    <x:tableColumn id="5" name="Ingreso incremental"/>
    <x:tableColumn id="6" name="Prioridad"/>
    <x:tableColumn id="7" name="Inicio"/>
    <x:tableColumn id="8" name="Riesg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mandDetail" displayName="DemandDetail" ref="A4:L24" headerRowCount="1" totalsRowCount="0" totalsRowShown="0">
  <x:tableColumns count="12">
    <x:tableColumn id="1" name="Cliente"/>
    <x:tableColumn id="2" name="Programa"/>
    <x:tableColumn id="3" name="SKU"/>
    <x:tableColumn id="4" name="Volumen actual"/>
    <x:tableColumn id="5" name="Aumento solicitado"/>
    <x:tableColumn id="6" name="Incremento unidades"/>
    <x:tableColumn id="7" name="Nuevo pronóstico"/>
    <x:tableColumn id="8" name="Pedidos abiertos"/>
    <x:tableColumn id="9" name="Prioridad"/>
    <x:tableColumn id="10" name="Precio unitario MXN"/>
    <x:tableColumn id="11" name="Ingreso incremental MXN"/>
    <x:tableColumn id="12" name="Inicio solicitad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mptTable" displayName="PromptTable" ref="A4:D8" headerRowCount="1" totalsRowCount="0" totalsRowShown="0">
  <x:tableColumns count="4">
    <x:tableColumn id="1" name="N.º"/>
    <x:tableColumn id="2" name="Ejercicio"/>
    <x:tableColumn id="3" name="Prompt para copiar"/>
    <x:tableColumn id="4" name="Resultado esper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63e9520de34537" /><Relationship Type="http://schemas.openxmlformats.org/officeDocument/2006/relationships/table" Target="/xl/tables/table2.xml" Id="R469ce18e8d2b41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870f60e6c25345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5c28f4977b8343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9" hidden="0" customWidth="1"/>
    <x:col min="4" max="4" width="22" hidden="0" customWidth="1"/>
    <x:col min="5" max="5" width="18" hidden="0" customWidth="1"/>
    <x:col min="6" max="6" width="19" hidden="0" customWidth="1"/>
    <x:col min="7" max="7" width="16" hidden="0" customWidth="1"/>
    <x:col min="8" max="8" width="20" hidden="0" customWidth="1"/>
  </x:cols>
  <x:sheetData>
    <x:row r="1" ht="15" hidden="0" customHeight="1">
      <x:c r="A1" s="4" t="str">
        <x:v>NovaDrive Components, S.A. de C.V. | Demanda y pedidos abiertos</x:v>
      </x:c>
      <x:c r="B1" s="4"/>
      <x:c r="C1" s="4"/>
      <x:c r="D1" s="4"/>
      <x:c r="E1" s="4"/>
      <x:c r="F1" s="4"/>
      <x:c r="G1" s="4"/>
      <x:c r="H1" s="4"/>
      <x:c r="I1" s="4"/>
      <x:c r="J1" s="4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5" hidden="0" customHeight="1">
      <x:c r="A2" s="5" t="str">
        <x:v>Caso sintético para capacitación con ChatGPT gratuito | Corte: septiembre de 2026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7" t="str">
        <x:v>Indicadores clave</x:v>
      </x:c>
      <x:c r="B4" s="7"/>
      <x:c r="C4" s="2"/>
      <x:c r="D4" s="7" t="str">
        <x:v>Oportunidad por programa</x:v>
      </x:c>
      <x:c r="E4" s="7"/>
      <x:c r="F4" s="7"/>
      <x:c r="G4" s="7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 t="str">
        <x:v>Ingreso incremental mensual MXN</x:v>
      </x:c>
      <x:c r="B5" s="10" t="n">
        <x:f>SUM(Detalle_Demanda!J5:J24)</x:f>
        <x:v>194600</x:v>
      </x:c>
      <x:c r="C5" s="2"/>
      <x:c r="D5" s="16" t="str">
        <x:v>Programa</x:v>
      </x:c>
      <x:c r="E5" s="16" t="str">
        <x:v>Incremento unidades</x:v>
      </x:c>
      <x:c r="F5" s="16" t="str">
        <x:v>Ingreso incremental</x:v>
      </x:c>
      <x:c r="G5" s="16" t="str">
        <x:v>Participación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 t="str">
        <x:v>Pedidos abiertos (unidades)</x:v>
      </x:c>
      <x:c r="B6" s="10" t="n">
        <x:f>SUM(Detalle_Demanda!H5:H24)</x:f>
        <x:v>5414</x:v>
      </x:c>
      <x:c r="C6" s="2"/>
      <x:c r="D6" s="2" t="str">
        <x:v>Programa VE</x:v>
      </x:c>
      <x:c r="E6" s="2" t="n">
        <x:f>SUMIF(Detalle_Demanda!B$5:B$24,D6,Detalle_Demanda!F$5:F$24)</x:f>
        <x:v>57590</x:v>
      </x:c>
      <x:c r="F6" s="8" t="n">
        <x:f>SUMIF(Detalle_Demanda!B$5:B$24,D6,Detalle_Demanda!J$5:J$24)</x:f>
        <x:v>92500</x:v>
      </x:c>
      <x:c r="G6" s="9" t="n">
        <x:f>F6/$B$5</x:f>
        <x:v>0.47533401849948614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 t="str">
        <x:v>Pedidos / incremento</x:v>
      </x:c>
      <x:c r="B7" s="11" t="n">
        <x:f>SUM(Detalle_Demanda!H5:H24)/SUM(Detalle_Demanda!F5:F24)</x:f>
        <x:v>0.04686228685189994</x:v>
      </x:c>
      <x:c r="C7" s="2"/>
      <x:c r="D7" s="2" t="str">
        <x:v>SUV híbrida</x:v>
      </x:c>
      <x:c r="E7" s="2" t="n">
        <x:f>SUMIF(Detalle_Demanda!B$5:B$24,D7,Detalle_Demanda!F$5:F$24)</x:f>
        <x:v>19240</x:v>
      </x:c>
      <x:c r="F7" s="8" t="n">
        <x:f>SUMIF(Detalle_Demanda!B$5:B$24,D7,Detalle_Demanda!J$5:J$24)</x:f>
        <x:v>37100</x:v>
      </x:c>
      <x:c r="G7" s="9" t="n">
        <x:f>F7/$B$5</x:f>
        <x:v>0.1906474820143885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2" t="str">
        <x:v>Clientes incluidos</x:v>
      </x:c>
      <x:c r="B8" s="12" t="n">
        <x:f>COUNTA(Detalle_Demanda!A5:A24)</x:f>
        <x:v>20</x:v>
      </x:c>
      <x:c r="C8" s="2"/>
      <x:c r="D8" s="2" t="str">
        <x:v>Sedán compacto</x:v>
      </x:c>
      <x:c r="E8" s="2" t="n">
        <x:f>SUMIF(Detalle_Demanda!B$5:B$24,D8,Detalle_Demanda!F$5:F$24)</x:f>
        <x:v>21740</x:v>
      </x:c>
      <x:c r="F8" s="8" t="n">
        <x:f>SUMIF(Detalle_Demanda!B$5:B$24,D8,Detalle_Demanda!J$5:J$24)</x:f>
        <x:v>38400</x:v>
      </x:c>
      <x:c r="G8" s="9" t="n">
        <x:f>F8/$B$5</x:f>
        <x:v>0.197327852004111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" t="str">
        <x:v>SKUs incluidos</x:v>
      </x:c>
      <x:c r="B9" s="12" t="n">
        <x:f>COUNTA(Detalle_Demanda!C5:C24)</x:f>
        <x:v>20</x:v>
      </x:c>
      <x:c r="C9" s="2"/>
      <x:c r="D9" s="2" t="str">
        <x:v>Vehículo comercial</x:v>
      </x:c>
      <x:c r="E9" s="2" t="n">
        <x:f>SUMIF(Detalle_Demanda!B$5:B$24,D9,Detalle_Demanda!F$5:F$24)</x:f>
        <x:v>16960</x:v>
      </x:c>
      <x:c r="F9" s="8" t="n">
        <x:f>SUMIF(Detalle_Demanda!B$5:B$24,D9,Detalle_Demanda!J$5:J$24)</x:f>
        <x:v>26600</x:v>
      </x:c>
      <x:c r="G9" s="9" t="n">
        <x:f>F9/$B$5</x:f>
        <x:v>0.1366906474820144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 t="str">
        <x:v>Recomendación</x:v>
      </x:c>
      <x:c r="B10" s="12" t="str">
        <x:f>IF(B7&gt;1,"Revisar capacidad","Liberar por etapas")</x:f>
        <x:v>Liberar por etapas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7" t="str">
        <x:v>Principales oportunidades</x:v>
      </x:c>
      <x:c r="B13" s="7"/>
      <x:c r="C13" s="7"/>
      <x:c r="D13" s="7"/>
      <x:c r="E13" s="7"/>
      <x:c r="F13" s="7"/>
      <x:c r="G13" s="7"/>
      <x:c r="H13" s="7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16" t="str">
        <x:v>Cliente</x:v>
      </x:c>
      <x:c r="B14" s="16" t="str">
        <x:v>Programa</x:v>
      </x:c>
      <x:c r="C14" s="16" t="str">
        <x:v>SKU</x:v>
      </x:c>
      <x:c r="D14" s="16" t="str">
        <x:v>Incremento</x:v>
      </x:c>
      <x:c r="E14" s="16" t="str">
        <x:v>Ingreso incremental</x:v>
      </x:c>
      <x:c r="F14" s="16" t="str">
        <x:v>Prioridad</x:v>
      </x:c>
      <x:c r="G14" s="16" t="str">
        <x:v>Inicio</x:v>
      </x:c>
      <x:c r="H14" s="16" t="str">
        <x:v>Riesgo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 t="str">
        <x:f>Detalle_Demanda!A5</x:f>
        <x:v>E-Motion</x:v>
      </x:c>
      <x:c r="B15" s="2" t="str">
        <x:f>Detalle_Demanda!B5</x:f>
        <x:v>Programa VE</x:v>
      </x:c>
      <x:c r="C15" s="2" t="str">
        <x:f>Detalle_Demanda!C5</x:f>
        <x:v>Arnés batería HV-01</x:v>
      </x:c>
      <x:c r="D15" s="2" t="n">
        <x:f>Detalle_Demanda!F5</x:f>
        <x:v>12480</x:v>
      </x:c>
      <x:c r="E15" s="8" t="n">
        <x:f>Detalle_Demanda!J5</x:f>
        <x:v>30000</x:v>
      </x:c>
      <x:c r="F15" s="2" t="str">
        <x:f>Detalle_Demanda!I5</x:f>
        <x:v>Estratégica</x:v>
      </x:c>
      <x:c r="G15" s="2" t="n">
        <x:f>Detalle_Demanda!K5</x:f>
        <x:v>374400000</x:v>
      </x:c>
      <x:c r="H15" s="2" t="str">
        <x:f>Detalle_Demanda!L5</x:f>
        <x:v>sep-26</x:v>
      </x:c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 t="str">
        <x:f>Detalle_Demanda!A6</x:f>
        <x:v>E-Motion</x:v>
      </x:c>
      <x:c r="B16" s="2" t="str">
        <x:f>Detalle_Demanda!B6</x:f>
        <x:v>Programa VE</x:v>
      </x:c>
      <x:c r="C16" s="2" t="str">
        <x:f>Detalle_Demanda!C6</x:f>
        <x:v>Arnés batería HV-02</x:v>
      </x:c>
      <x:c r="D16" s="2" t="n">
        <x:f>Detalle_Demanda!F6</x:f>
        <x:v>9200</x:v>
      </x:c>
      <x:c r="E16" s="8" t="n">
        <x:f>Detalle_Demanda!J6</x:f>
        <x:v>23000</x:v>
      </x:c>
      <x:c r="F16" s="2" t="str">
        <x:f>Detalle_Demanda!I6</x:f>
        <x:v>Estratégica</x:v>
      </x:c>
      <x:c r="G16" s="2" t="n">
        <x:f>Detalle_Demanda!K6</x:f>
        <x:v>211600000</x:v>
      </x:c>
      <x:c r="H16" s="2" t="str">
        <x:f>Detalle_Demanda!L6</x:f>
        <x:v>sep-26</x:v>
      </x:c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 t="str">
        <x:f>Detalle_Demanda!A7</x:f>
        <x:v>AutoAndes</x:v>
      </x:c>
      <x:c r="B17" s="2" t="str">
        <x:f>Detalle_Demanda!B7</x:f>
        <x:v>SUV híbrida</x:v>
      </x:c>
      <x:c r="C17" s="2" t="str">
        <x:f>Detalle_Demanda!C7</x:f>
        <x:v>Módulo puerta MD-7</x:v>
      </x:c>
      <x:c r="D17" s="2" t="n">
        <x:f>Detalle_Demanda!F7</x:f>
        <x:v>5700</x:v>
      </x:c>
      <x:c r="E17" s="8" t="n">
        <x:f>Detalle_Demanda!J7</x:f>
        <x:v>11000</x:v>
      </x:c>
      <x:c r="F17" s="2" t="str">
        <x:f>Detalle_Demanda!I7</x:f>
        <x:v>Alta</x:v>
      </x:c>
      <x:c r="G17" s="2" t="n">
        <x:f>Detalle_Demanda!K7</x:f>
        <x:v>62700000</x:v>
      </x:c>
      <x:c r="H17" s="2" t="str">
        <x:f>Detalle_Demanda!L7</x:f>
        <x:v>oct-26</x:v>
      </x:c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 t="str">
        <x:f>Detalle_Demanda!A8</x:f>
        <x:v>AutoAndes</x:v>
      </x:c>
      <x:c r="B18" s="2" t="str">
        <x:f>Detalle_Demanda!B8</x:f>
        <x:v>SUV híbrida</x:v>
      </x:c>
      <x:c r="C18" s="2" t="str">
        <x:f>Detalle_Demanda!C8</x:f>
        <x:v>Soporte chasis SC-4</x:v>
      </x:c>
      <x:c r="D18" s="2" t="n">
        <x:f>Detalle_Demanda!F8</x:f>
        <x:v>5220</x:v>
      </x:c>
      <x:c r="E18" s="8" t="n">
        <x:f>Detalle_Demanda!J8</x:f>
        <x:v>8200</x:v>
      </x:c>
      <x:c r="F18" s="2" t="str">
        <x:f>Detalle_Demanda!I8</x:f>
        <x:v>Alta</x:v>
      </x:c>
      <x:c r="G18" s="2" t="n">
        <x:f>Detalle_Demanda!K8</x:f>
        <x:v>42804000</x:v>
      </x:c>
      <x:c r="H18" s="2" t="str">
        <x:f>Detalle_Demanda!L8</x:f>
        <x:v>oct-26</x:v>
      </x:c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 t="str">
        <x:f>Detalle_Demanda!A9</x:f>
        <x:v>Motoriq</x:v>
      </x:c>
      <x:c r="B19" s="2" t="str">
        <x:f>Detalle_Demanda!B9</x:f>
        <x:v>Sedán compacto</x:v>
      </x:c>
      <x:c r="C19" s="2" t="str">
        <x:f>Detalle_Demanda!C9</x:f>
        <x:v>Pieza plástica IP-3</x:v>
      </x:c>
      <x:c r="D19" s="2" t="n">
        <x:f>Detalle_Demanda!F9</x:f>
        <x:v>7100</x:v>
      </x:c>
      <x:c r="E19" s="8" t="n">
        <x:f>Detalle_Demanda!J9</x:f>
        <x:v>15000</x:v>
      </x:c>
      <x:c r="F19" s="2" t="str">
        <x:f>Detalle_Demanda!I9</x:f>
        <x:v>Media</x:v>
      </x:c>
      <x:c r="G19" s="2" t="n">
        <x:f>Detalle_Demanda!K9</x:f>
        <x:v>106500000</x:v>
      </x:c>
      <x:c r="H19" s="2" t="str">
        <x:f>Detalle_Demanda!L9</x:f>
        <x:v>sep-26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36" hidden="0" customHeight="1">
      <x:c r="A23" s="17" t="str">
        <x:v>Nota</x:v>
      </x:c>
      <x:c r="B23" s="18" t="str">
        <x:v>Datos sintéticos. Precio unitario y volumen son editables.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36" hidden="0" customHeight="1">
      <x:c r="A24" s="17" t="str">
        <x:v>Uso</x:v>
      </x:c>
      <x:c r="B24" s="18" t="str">
        <x:v>Suba este archivo y trabaje un prompt a la vez.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48" hidden="0" customHeight="1">
      <x:c r="A25" s="17" t="str">
        <x:v>Criterio</x:v>
      </x:c>
      <x:c r="B25" s="18" t="str">
        <x:v>Más de 100% en pedidos / incremento implica presión de secuenciación.</x:v>
      </x:c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36" hidden="0" customHeight="1">
      <x:c r="A26" s="17" t="str">
        <x:v>Siguiente paso</x:v>
      </x:c>
      <x:c r="B26" s="18" t="str">
        <x:v>Cruzar la mezcla priorizada con capacidad.</x:v>
      </x:c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</x:sheetData>
  <x:mergeCells>
    <x:mergeCell ref="A1:J1"/>
    <x:mergeCell ref="A1:J2"/>
    <x:mergeCell ref="A4:B4"/>
    <x:mergeCell ref="D4:G4"/>
    <x:mergeCell ref="A13:H13"/>
  </x:mergeCells>
  <x:pageMargins left="0.7" right="0.7" top="0.75" bottom="0.75" header="0.3" footer="0.3"/>
  <x:tableParts count="2">
    <x:tablePart xmlns:r="http://schemas.openxmlformats.org/officeDocument/2006/relationships" r:id="R5663e9520de34537"/>
    <x:tablePart xmlns:r="http://schemas.openxmlformats.org/officeDocument/2006/relationships" r:id="R469ce18e8d2b419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15" hidden="0" customWidth="1"/>
    <x:col min="5" max="5" width="16" hidden="0" customWidth="1"/>
    <x:col min="6" max="6" width="16" hidden="0" customWidth="1"/>
    <x:col min="7" max="7" width="17" hidden="0" customWidth="1"/>
    <x:col min="8" max="8" width="16" hidden="0" customWidth="1"/>
    <x:col min="9" max="9" width="14" hidden="0" customWidth="1"/>
    <x:col min="10" max="10" width="18" hidden="0" customWidth="1"/>
    <x:col min="11" max="11" width="19" hidden="0" customWidth="1"/>
    <x:col min="12" max="12" width="15" hidden="0" customWidth="1"/>
  </x:cols>
  <x:sheetData>
    <x:row r="1" ht="15" hidden="0" customHeight="1">
      <x:c r="A1" s="2" t="str">
        <x:v>NovaDrive Components, S.A. de C.V. | Detalle de demanda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5" hidden="0" customHeight="1">
      <x:c r="A2" s="2" t="str">
        <x:v>Datos sintéticos para capacitación. MXN por unidad.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4" hidden="0" customHeight="1">
      <x:c r="A4" s="16" t="str">
        <x:v>Cliente</x:v>
      </x:c>
      <x:c r="B4" s="16" t="str">
        <x:v>Programa</x:v>
      </x:c>
      <x:c r="C4" s="16" t="str">
        <x:v>SKU</x:v>
      </x:c>
      <x:c r="D4" s="16" t="str">
        <x:v>Volumen actual</x:v>
      </x:c>
      <x:c r="E4" s="16" t="str">
        <x:v>Aumento solicitado</x:v>
      </x:c>
      <x:c r="F4" s="16" t="str">
        <x:v>Incremento unidades</x:v>
      </x:c>
      <x:c r="G4" s="16" t="str">
        <x:v>Nuevo pronóstico</x:v>
      </x:c>
      <x:c r="H4" s="16" t="str">
        <x:v>Pedidos abiertos</x:v>
      </x:c>
      <x:c r="I4" s="16" t="str">
        <x:v>Prioridad</x:v>
      </x:c>
      <x:c r="J4" s="16" t="str">
        <x:v>Precio unitario MXN</x:v>
      </x:c>
      <x:c r="K4" s="16" t="str">
        <x:v>Ingreso incremental MXN</x:v>
      </x:c>
      <x:c r="L4" s="16" t="str">
        <x:v>Inicio solicitado</x:v>
      </x:c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 t="str">
        <x:v>E-Motion</x:v>
      </x:c>
      <x:c r="B5" s="2" t="str">
        <x:v>Programa VE</x:v>
      </x:c>
      <x:c r="C5" s="2" t="str">
        <x:v>Arnés batería HV-01</x:v>
      </x:c>
      <x:c r="D5" s="2" t="n">
        <x:v>52000</x:v>
      </x:c>
      <x:c r="E5" s="9" t="n">
        <x:v>0.24</x:v>
      </x:c>
      <x:c r="F5" s="2" t="n">
        <x:f>D5*E5</x:f>
        <x:v>12480</x:v>
      </x:c>
      <x:c r="G5" s="2" t="n">
        <x:f>D5+F5</x:f>
        <x:v>64480</x:v>
      </x:c>
      <x:c r="H5" s="2" t="n">
        <x:v>610</x:v>
      </x:c>
      <x:c r="I5" s="2" t="str">
        <x:v>Estratégica</x:v>
      </x:c>
      <x:c r="J5" s="8" t="n">
        <x:v>30000</x:v>
      </x:c>
      <x:c r="K5" s="8" t="n">
        <x:f>F5*J5</x:f>
        <x:v>374400000</x:v>
      </x:c>
      <x:c r="L5" s="2" t="str">
        <x:v>sep-26</x:v>
      </x:c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 t="str">
        <x:v>E-Motion</x:v>
      </x:c>
      <x:c r="B6" s="2" t="str">
        <x:v>Programa VE</x:v>
      </x:c>
      <x:c r="C6" s="2" t="str">
        <x:v>Arnés batería HV-02</x:v>
      </x:c>
      <x:c r="D6" s="2" t="n">
        <x:v>46000</x:v>
      </x:c>
      <x:c r="E6" s="9" t="n">
        <x:v>0.2</x:v>
      </x:c>
      <x:c r="F6" s="2" t="n">
        <x:f>D6*E6</x:f>
        <x:v>9200</x:v>
      </x:c>
      <x:c r="G6" s="2" t="n">
        <x:f>D6+F6</x:f>
        <x:v>55200</x:v>
      </x:c>
      <x:c r="H6" s="2" t="n">
        <x:v>740</x:v>
      </x:c>
      <x:c r="I6" s="2" t="str">
        <x:v>Estratégica</x:v>
      </x:c>
      <x:c r="J6" s="8" t="n">
        <x:v>23000</x:v>
      </x:c>
      <x:c r="K6" s="8" t="n">
        <x:f>F6*J6</x:f>
        <x:v>211600000</x:v>
      </x:c>
      <x:c r="L6" s="2" t="str">
        <x:v>sep-26</x:v>
      </x:c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 t="str">
        <x:v>AutoAndes</x:v>
      </x:c>
      <x:c r="B7" s="2" t="str">
        <x:v>SUV híbrida</x:v>
      </x:c>
      <x:c r="C7" s="2" t="str">
        <x:v>Módulo puerta MD-7</x:v>
      </x:c>
      <x:c r="D7" s="2" t="n">
        <x:v>38000</x:v>
      </x:c>
      <x:c r="E7" s="9" t="n">
        <x:v>0.15</x:v>
      </x:c>
      <x:c r="F7" s="2" t="n">
        <x:f>D7*E7</x:f>
        <x:v>5700</x:v>
      </x:c>
      <x:c r="G7" s="2" t="n">
        <x:f>D7+F7</x:f>
        <x:v>43700</x:v>
      </x:c>
      <x:c r="H7" s="2" t="n">
        <x:v>185</x:v>
      </x:c>
      <x:c r="I7" s="2" t="str">
        <x:v>Alta</x:v>
      </x:c>
      <x:c r="J7" s="8" t="n">
        <x:v>11000</x:v>
      </x:c>
      <x:c r="K7" s="8" t="n">
        <x:f>F7*J7</x:f>
        <x:v>62700000</x:v>
      </x:c>
      <x:c r="L7" s="2" t="str">
        <x:v>oct-26</x:v>
      </x:c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2" t="str">
        <x:v>AutoAndes</x:v>
      </x:c>
      <x:c r="B8" s="2" t="str">
        <x:v>SUV híbrida</x:v>
      </x:c>
      <x:c r="C8" s="2" t="str">
        <x:v>Soporte chasis SC-4</x:v>
      </x:c>
      <x:c r="D8" s="2" t="n">
        <x:v>29000</x:v>
      </x:c>
      <x:c r="E8" s="9" t="n">
        <x:v>0.18</x:v>
      </x:c>
      <x:c r="F8" s="2" t="n">
        <x:f>D8*E8</x:f>
        <x:v>5220</x:v>
      </x:c>
      <x:c r="G8" s="2" t="n">
        <x:f>D8+F8</x:f>
        <x:v>34220</x:v>
      </x:c>
      <x:c r="H8" s="2" t="n">
        <x:v>245</x:v>
      </x:c>
      <x:c r="I8" s="2" t="str">
        <x:v>Alta</x:v>
      </x:c>
      <x:c r="J8" s="8" t="n">
        <x:v>8200</x:v>
      </x:c>
      <x:c r="K8" s="8" t="n">
        <x:f>F8*J8</x:f>
        <x:v>42804000</x:v>
      </x:c>
      <x:c r="L8" s="2" t="str">
        <x:v>oct-26</x:v>
      </x:c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" t="str">
        <x:v>Motoriq</x:v>
      </x:c>
      <x:c r="B9" s="2" t="str">
        <x:v>Sedán compacto</x:v>
      </x:c>
      <x:c r="C9" s="2" t="str">
        <x:v>Pieza plástica IP-3</x:v>
      </x:c>
      <x:c r="D9" s="2" t="n">
        <x:v>71000</x:v>
      </x:c>
      <x:c r="E9" s="9" t="n">
        <x:v>0.1</x:v>
      </x:c>
      <x:c r="F9" s="2" t="n">
        <x:f>D9*E9</x:f>
        <x:v>7100</x:v>
      </x:c>
      <x:c r="G9" s="2" t="n">
        <x:f>D9+F9</x:f>
        <x:v>78100</x:v>
      </x:c>
      <x:c r="H9" s="2" t="n">
        <x:v>38</x:v>
      </x:c>
      <x:c r="I9" s="2" t="str">
        <x:v>Media</x:v>
      </x:c>
      <x:c r="J9" s="8" t="n">
        <x:v>15000</x:v>
      </x:c>
      <x:c r="K9" s="8" t="n">
        <x:f>F9*J9</x:f>
        <x:v>106500000</x:v>
      </x:c>
      <x:c r="L9" s="2" t="str">
        <x:v>sep-26</x:v>
      </x:c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 t="str">
        <x:v>Motoriq</x:v>
      </x:c>
      <x:c r="B10" s="2" t="str">
        <x:v>Sedán compacto</x:v>
      </x:c>
      <x:c r="C10" s="2" t="str">
        <x:v>Consola interior CI-2</x:v>
      </x:c>
      <x:c r="D10" s="2" t="n">
        <x:v>42000</x:v>
      </x:c>
      <x:c r="E10" s="9" t="n">
        <x:v>0.12</x:v>
      </x:c>
      <x:c r="F10" s="2" t="n">
        <x:f>D10*E10</x:f>
        <x:v>5040</x:v>
      </x:c>
      <x:c r="G10" s="2" t="n">
        <x:f>D10+F10</x:f>
        <x:v>47040</x:v>
      </x:c>
      <x:c r="H10" s="2" t="n">
        <x:v>115</x:v>
      </x:c>
      <x:c r="I10" s="2" t="str">
        <x:v>Media</x:v>
      </x:c>
      <x:c r="J10" s="8" t="n">
        <x:v>9800</x:v>
      </x:c>
      <x:c r="K10" s="8" t="n">
        <x:f>F10*J10</x:f>
        <x:v>49392000</x:v>
      </x:c>
      <x:c r="L10" s="2" t="str">
        <x:v>oct-26</x:v>
      </x:c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 t="str">
        <x:v>Camino Norte</x:v>
      </x:c>
      <x:c r="B11" s="2" t="str">
        <x:v>Vehículo comercial</x:v>
      </x:c>
      <x:c r="C11" s="2" t="str">
        <x:v>Soporte batería SB-2</x:v>
      </x:c>
      <x:c r="D11" s="2" t="n">
        <x:v>18000</x:v>
      </x:c>
      <x:c r="E11" s="9" t="n">
        <x:v>0.22</x:v>
      </x:c>
      <x:c r="F11" s="2" t="n">
        <x:f>D11*E11</x:f>
        <x:v>3960</x:v>
      </x:c>
      <x:c r="G11" s="2" t="n">
        <x:f>D11+F11</x:f>
        <x:v>21960</x:v>
      </x:c>
      <x:c r="H11" s="2" t="n">
        <x:v>330</x:v>
      </x:c>
      <x:c r="I11" s="2" t="str">
        <x:v>Alta</x:v>
      </x:c>
      <x:c r="J11" s="8" t="n">
        <x:v>6200</x:v>
      </x:c>
      <x:c r="K11" s="8" t="n">
        <x:f>F11*J11</x:f>
        <x:v>24552000</x:v>
      </x:c>
      <x:c r="L11" s="2" t="str">
        <x:v>nov-26</x:v>
      </x:c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 t="str">
        <x:v>Camino Norte</x:v>
      </x:c>
      <x:c r="B12" s="2" t="str">
        <x:v>Vehículo comercial</x:v>
      </x:c>
      <x:c r="C12" s="2" t="str">
        <x:v>Refuerzo lateral RL-5</x:v>
      </x:c>
      <x:c r="D12" s="2" t="n">
        <x:v>24000</x:v>
      </x:c>
      <x:c r="E12" s="9" t="n">
        <x:v>0.18</x:v>
      </x:c>
      <x:c r="F12" s="2" t="n">
        <x:f>D12*E12</x:f>
        <x:v>4320</x:v>
      </x:c>
      <x:c r="G12" s="2" t="n">
        <x:f>D12+F12</x:f>
        <x:v>28320</x:v>
      </x:c>
      <x:c r="H12" s="2" t="n">
        <x:v>190</x:v>
      </x:c>
      <x:c r="I12" s="2" t="str">
        <x:v>Alta</x:v>
      </x:c>
      <x:c r="J12" s="8" t="n">
        <x:v>7800</x:v>
      </x:c>
      <x:c r="K12" s="8" t="n">
        <x:f>F12*J12</x:f>
        <x:v>33696000</x:v>
      </x:c>
      <x:c r="L12" s="2" t="str">
        <x:v>nov-26</x:v>
      </x:c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 t="str">
        <x:v>Volta Mobility</x:v>
      </x:c>
      <x:c r="B13" s="2" t="str">
        <x:v>Programa VE</x:v>
      </x:c>
      <x:c r="C13" s="2" t="str">
        <x:v>Cubierta batería CB-1</x:v>
      </x:c>
      <x:c r="D13" s="2" t="n">
        <x:v>26000</x:v>
      </x:c>
      <x:c r="E13" s="9" t="n">
        <x:v>0.28</x:v>
      </x:c>
      <x:c r="F13" s="2" t="n">
        <x:f>D13*E13</x:f>
        <x:v>7280.000000000001</x:v>
      </x:c>
      <x:c r="G13" s="2" t="n">
        <x:f>D13+F13</x:f>
        <x:v>33280</x:v>
      </x:c>
      <x:c r="H13" s="2" t="n">
        <x:v>420</x:v>
      </x:c>
      <x:c r="I13" s="2" t="str">
        <x:v>Estratégica</x:v>
      </x:c>
      <x:c r="J13" s="8" t="n">
        <x:v>7600</x:v>
      </x:c>
      <x:c r="K13" s="8" t="n">
        <x:f>F13*J13</x:f>
        <x:v>55328000.00000001</x:v>
      </x:c>
      <x:c r="L13" s="2" t="str">
        <x:v>nov-26</x:v>
      </x:c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 t="str">
        <x:v>Volta Mobility</x:v>
      </x:c>
      <x:c r="B14" s="2" t="str">
        <x:v>Programa VE</x:v>
      </x:c>
      <x:c r="C14" s="2" t="str">
        <x:v>Canal HV CH-3</x:v>
      </x:c>
      <x:c r="D14" s="2" t="n">
        <x:v>31000</x:v>
      </x:c>
      <x:c r="E14" s="9" t="n">
        <x:v>0.28</x:v>
      </x:c>
      <x:c r="F14" s="2" t="n">
        <x:f>D14*E14</x:f>
        <x:v>8680</x:v>
      </x:c>
      <x:c r="G14" s="2" t="n">
        <x:f>D14+F14</x:f>
        <x:v>39680</x:v>
      </x:c>
      <x:c r="H14" s="2" t="n">
        <x:v>275</x:v>
      </x:c>
      <x:c r="I14" s="2" t="str">
        <x:v>Estratégica</x:v>
      </x:c>
      <x:c r="J14" s="8" t="n">
        <x:v>9100</x:v>
      </x:c>
      <x:c r="K14" s="8" t="n">
        <x:f>F14*J14</x:f>
        <x:v>78988000</x:v>
      </x:c>
      <x:c r="L14" s="2" t="str">
        <x:v>dic-26</x:v>
      </x:c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 t="str">
        <x:v>Ruta OEM</x:v>
      </x:c>
      <x:c r="B15" s="2" t="str">
        <x:v>Vehículo comercial</x:v>
      </x:c>
      <x:c r="C15" s="2" t="str">
        <x:v>Arnés cabina AC-8</x:v>
      </x:c>
      <x:c r="D15" s="2" t="n">
        <x:v>35000</x:v>
      </x:c>
      <x:c r="E15" s="9" t="n">
        <x:v>0.14</x:v>
      </x:c>
      <x:c r="F15" s="2" t="n">
        <x:f>D15*E15</x:f>
        <x:v>4900.000000000001</x:v>
      </x:c>
      <x:c r="G15" s="2" t="n">
        <x:f>D15+F15</x:f>
        <x:v>39900</x:v>
      </x:c>
      <x:c r="H15" s="2" t="n">
        <x:v>94</x:v>
      </x:c>
      <x:c r="I15" s="2" t="str">
        <x:v>Alta</x:v>
      </x:c>
      <x:c r="J15" s="8" t="n">
        <x:v>7200</x:v>
      </x:c>
      <x:c r="K15" s="8" t="n">
        <x:f>F15*J15</x:f>
        <x:v>35280000.00000001</x:v>
      </x:c>
      <x:c r="L15" s="2" t="str">
        <x:v>oct-26</x:v>
      </x:c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 t="str">
        <x:v>Ruta OEM</x:v>
      </x:c>
      <x:c r="B16" s="2" t="str">
        <x:v>Vehículo comercial</x:v>
      </x:c>
      <x:c r="C16" s="2" t="str">
        <x:v>Panel lateral PL-6</x:v>
      </x:c>
      <x:c r="D16" s="2" t="n">
        <x:v>27000</x:v>
      </x:c>
      <x:c r="E16" s="9" t="n">
        <x:v>0.14</x:v>
      </x:c>
      <x:c r="F16" s="2" t="n">
        <x:f>D16*E16</x:f>
        <x:v>3780.0000000000005</x:v>
      </x:c>
      <x:c r="G16" s="2" t="n">
        <x:f>D16+F16</x:f>
        <x:v>30780</x:v>
      </x:c>
      <x:c r="H16" s="2" t="n">
        <x:v>130</x:v>
      </x:c>
      <x:c r="I16" s="2" t="str">
        <x:v>Alta</x:v>
      </x:c>
      <x:c r="J16" s="8" t="n">
        <x:v>5400</x:v>
      </x:c>
      <x:c r="K16" s="8" t="n">
        <x:f>F16*J16</x:f>
        <x:v>20412000.000000004</x:v>
      </x:c>
      <x:c r="L16" s="2" t="str">
        <x:v>oct-26</x:v>
      </x:c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 t="str">
        <x:v>ElectroCar</x:v>
      </x:c>
      <x:c r="B17" s="2" t="str">
        <x:v>Programa VE</x:v>
      </x:c>
      <x:c r="C17" s="2" t="str">
        <x:v>Soporte motor SM-9</x:v>
      </x:c>
      <x:c r="D17" s="2" t="n">
        <x:v>22000</x:v>
      </x:c>
      <x:c r="E17" s="9" t="n">
        <x:v>0.2</x:v>
      </x:c>
      <x:c r="F17" s="2" t="n">
        <x:f>D17*E17</x:f>
        <x:v>4400</x:v>
      </x:c>
      <x:c r="G17" s="2" t="n">
        <x:f>D17+F17</x:f>
        <x:v>26400</x:v>
      </x:c>
      <x:c r="H17" s="2" t="n">
        <x:v>260</x:v>
      </x:c>
      <x:c r="I17" s="2" t="str">
        <x:v>Alta</x:v>
      </x:c>
      <x:c r="J17" s="8" t="n">
        <x:v>6800</x:v>
      </x:c>
      <x:c r="K17" s="8" t="n">
        <x:f>F17*J17</x:f>
        <x:v>29920000</x:v>
      </x:c>
      <x:c r="L17" s="2" t="str">
        <x:v>nov-26</x:v>
      </x:c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 t="str">
        <x:v>ElectroCar</x:v>
      </x:c>
      <x:c r="B18" s="2" t="str">
        <x:v>Programa VE</x:v>
      </x:c>
      <x:c r="C18" s="2" t="str">
        <x:v>Bandeja electrónica BE-2</x:v>
      </x:c>
      <x:c r="D18" s="2" t="n">
        <x:v>19000</x:v>
      </x:c>
      <x:c r="E18" s="9" t="n">
        <x:v>0.2</x:v>
      </x:c>
      <x:c r="F18" s="2" t="n">
        <x:f>D18*E18</x:f>
        <x:v>3800</x:v>
      </x:c>
      <x:c r="G18" s="2" t="n">
        <x:f>D18+F18</x:f>
        <x:v>22800</x:v>
      </x:c>
      <x:c r="H18" s="2" t="n">
        <x:v>385</x:v>
      </x:c>
      <x:c r="I18" s="2" t="str">
        <x:v>Alta</x:v>
      </x:c>
      <x:c r="J18" s="8" t="n">
        <x:v>5100</x:v>
      </x:c>
      <x:c r="K18" s="8" t="n">
        <x:f>F18*J18</x:f>
        <x:v>19380000</x:v>
      </x:c>
      <x:c r="L18" s="2" t="str">
        <x:v>nov-26</x:v>
      </x:c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 t="str">
        <x:v>Autovia</x:v>
      </x:c>
      <x:c r="B19" s="2" t="str">
        <x:v>SUV híbrida</x:v>
      </x:c>
      <x:c r="C19" s="2" t="str">
        <x:v>Soporte asiento SA-4</x:v>
      </x:c>
      <x:c r="D19" s="2" t="n">
        <x:v>48000</x:v>
      </x:c>
      <x:c r="E19" s="9" t="n">
        <x:v>0.08</x:v>
      </x:c>
      <x:c r="F19" s="2" t="n">
        <x:f>D19*E19</x:f>
        <x:v>3840</x:v>
      </x:c>
      <x:c r="G19" s="2" t="n">
        <x:f>D19+F19</x:f>
        <x:v>51840</x:v>
      </x:c>
      <x:c r="H19" s="2" t="n">
        <x:v>72</x:v>
      </x:c>
      <x:c r="I19" s="2" t="str">
        <x:v>Media</x:v>
      </x:c>
      <x:c r="J19" s="8" t="n">
        <x:v>8600</x:v>
      </x:c>
      <x:c r="K19" s="8" t="n">
        <x:f>F19*J19</x:f>
        <x:v>33024000</x:v>
      </x:c>
      <x:c r="L19" s="2" t="str">
        <x:v>sep-26</x:v>
      </x:c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 t="str">
        <x:v>Autovia</x:v>
      </x:c>
      <x:c r="B20" s="2" t="str">
        <x:v>SUV híbrida</x:v>
      </x:c>
      <x:c r="C20" s="2" t="str">
        <x:v>Moldura interior MI-5</x:v>
      </x:c>
      <x:c r="D20" s="2" t="n">
        <x:v>56000</x:v>
      </x:c>
      <x:c r="E20" s="9" t="n">
        <x:v>0.08</x:v>
      </x:c>
      <x:c r="F20" s="2" t="n">
        <x:f>D20*E20</x:f>
        <x:v>4480</x:v>
      </x:c>
      <x:c r="G20" s="2" t="n">
        <x:f>D20+F20</x:f>
        <x:v>60480</x:v>
      </x:c>
      <x:c r="H20" s="2" t="n">
        <x:v>44</x:v>
      </x:c>
      <x:c r="I20" s="2" t="str">
        <x:v>Media</x:v>
      </x:c>
      <x:c r="J20" s="8" t="n">
        <x:v>9300</x:v>
      </x:c>
      <x:c r="K20" s="8" t="n">
        <x:f>F20*J20</x:f>
        <x:v>41664000</x:v>
      </x:c>
      <x:c r="L20" s="2" t="str">
        <x:v>sep-26</x:v>
      </x:c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 t="str">
        <x:v>Nortech</x:v>
      </x:c>
      <x:c r="B21" s="2" t="str">
        <x:v>Sedán compacto</x:v>
      </x:c>
      <x:c r="C21" s="2" t="str">
        <x:v>Caja fusibles CF-2</x:v>
      </x:c>
      <x:c r="D21" s="2" t="n">
        <x:v>26000</x:v>
      </x:c>
      <x:c r="E21" s="9" t="n">
        <x:v>0.16</x:v>
      </x:c>
      <x:c r="F21" s="2" t="n">
        <x:f>D21*E21</x:f>
        <x:v>4160</x:v>
      </x:c>
      <x:c r="G21" s="2" t="n">
        <x:f>D21+F21</x:f>
        <x:v>30160</x:v>
      </x:c>
      <x:c r="H21" s="2" t="n">
        <x:v>215</x:v>
      </x:c>
      <x:c r="I21" s="2" t="str">
        <x:v>Alta</x:v>
      </x:c>
      <x:c r="J21" s="8" t="n">
        <x:v>6200</x:v>
      </x:c>
      <x:c r="K21" s="8" t="n">
        <x:f>F21*J21</x:f>
        <x:v>25792000</x:v>
      </x:c>
      <x:c r="L21" s="2" t="str">
        <x:v>oct-26</x:v>
      </x:c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 t="str">
        <x:v>Nortech</x:v>
      </x:c>
      <x:c r="B22" s="2" t="str">
        <x:v>Sedán compacto</x:v>
      </x:c>
      <x:c r="C22" s="2" t="str">
        <x:v>Tapa consola TC-1</x:v>
      </x:c>
      <x:c r="D22" s="2" t="n">
        <x:v>34000</x:v>
      </x:c>
      <x:c r="E22" s="9" t="n">
        <x:v>0.16</x:v>
      </x:c>
      <x:c r="F22" s="2" t="n">
        <x:f>D22*E22</x:f>
        <x:v>5440</x:v>
      </x:c>
      <x:c r="G22" s="2" t="n">
        <x:f>D22+F22</x:f>
        <x:v>39440</x:v>
      </x:c>
      <x:c r="H22" s="2" t="n">
        <x:v>36</x:v>
      </x:c>
      <x:c r="I22" s="2" t="str">
        <x:v>Alta</x:v>
      </x:c>
      <x:c r="J22" s="8" t="n">
        <x:v>7400</x:v>
      </x:c>
      <x:c r="K22" s="8" t="n">
        <x:f>F22*J22</x:f>
        <x:v>40256000</x:v>
      </x:c>
      <x:c r="L22" s="2" t="str">
        <x:v>oct-26</x:v>
      </x:c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 t="str">
        <x:v>eMotion Fleet</x:v>
      </x:c>
      <x:c r="B23" s="2" t="str">
        <x:v>Programa VE</x:v>
      </x:c>
      <x:c r="C23" s="2" t="str">
        <x:v>Arnés batería HV-01</x:v>
      </x:c>
      <x:c r="D23" s="2" t="n">
        <x:v>30000</x:v>
      </x:c>
      <x:c r="E23" s="9" t="n">
        <x:v>0.25</x:v>
      </x:c>
      <x:c r="F23" s="2" t="n">
        <x:f>D23*E23</x:f>
        <x:v>7500</x:v>
      </x:c>
      <x:c r="G23" s="2" t="n">
        <x:f>D23+F23</x:f>
        <x:v>37500</x:v>
      </x:c>
      <x:c r="H23" s="2" t="n">
        <x:v>610</x:v>
      </x:c>
      <x:c r="I23" s="2" t="str">
        <x:v>Estratégica</x:v>
      </x:c>
      <x:c r="J23" s="8" t="n">
        <x:v>6800</x:v>
      </x:c>
      <x:c r="K23" s="8" t="n">
        <x:f>F23*J23</x:f>
        <x:v>51000000</x:v>
      </x:c>
      <x:c r="L23" s="2" t="str">
        <x:v>dic-26</x:v>
      </x:c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 t="str">
        <x:v>eMotion Fleet</x:v>
      </x:c>
      <x:c r="B24" s="2" t="str">
        <x:v>Programa VE</x:v>
      </x:c>
      <x:c r="C24" s="2" t="str">
        <x:v>Cubierta batería CB-1</x:v>
      </x:c>
      <x:c r="D24" s="2" t="n">
        <x:v>17000</x:v>
      </x:c>
      <x:c r="E24" s="9" t="n">
        <x:v>0.25</x:v>
      </x:c>
      <x:c r="F24" s="2" t="n">
        <x:f>D24*E24</x:f>
        <x:v>4250</x:v>
      </x:c>
      <x:c r="G24" s="2" t="n">
        <x:f>D24+F24</x:f>
        <x:v>21250</x:v>
      </x:c>
      <x:c r="H24" s="2" t="n">
        <x:v>420</x:v>
      </x:c>
      <x:c r="I24" s="2" t="str">
        <x:v>Estratégica</x:v>
      </x:c>
      <x:c r="J24" s="8" t="n">
        <x:v>4100</x:v>
      </x:c>
      <x:c r="K24" s="8" t="n">
        <x:f>F24*J24</x:f>
        <x:v>17425000</x:v>
      </x:c>
      <x:c r="L24" s="2" t="str">
        <x:v>dic-26</x:v>
      </x:c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70f60e6c253453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24" hidden="0" customWidth="1"/>
    <x:col min="3" max="3" width="95" hidden="0" customWidth="1"/>
    <x:col min="4" max="4" width="38" hidden="0" customWidth="1"/>
  </x:cols>
  <x:sheetData>
    <x:row r="1" ht="15" hidden="0" customHeight="1">
      <x:c r="A1" s="4" t="str">
        <x:v>NovaDrive Components, S.A. de C.V. | Prompts para ChatGPT</x:v>
      </x:c>
      <x:c r="B1" s="4"/>
      <x:c r="C1" s="4"/>
      <x:c r="D1" s="4"/>
    </x:row>
    <x:row r="2">
      <x:c r="A2" s="5" t="str">
        <x:v>Caso sintético para capacitación con ChatGPT gratuito | Corte: septiembre de 2026</x:v>
      </x:c>
      <x:c r="B2" s="5"/>
      <x:c r="C2" s="5"/>
      <x:c r="D2" s="5"/>
    </x:row>
    <x:row r="3" ht="15" hidden="0" customHeight="1">
      <x:c r="A3" s="2"/>
      <x:c r="B3" s="2"/>
      <x:c r="C3" s="2"/>
      <x:c r="D3" s="2"/>
    </x:row>
    <x:row r="4" ht="15" hidden="0" customHeight="1">
      <x:c r="A4" s="16" t="str">
        <x:v>N.º</x:v>
      </x:c>
      <x:c r="B4" s="16" t="str">
        <x:v>Ejercicio</x:v>
      </x:c>
      <x:c r="C4" s="16" t="str">
        <x:v>Prompt para copiar</x:v>
      </x:c>
      <x:c r="D4" s="16" t="str">
        <x:v>Resultado esperado</x:v>
      </x:c>
    </x:row>
    <x:row r="5" ht="15" hidden="0" customHeight="1">
      <x:c r="A5" s="2" t="n">
        <x:v>1</x:v>
      </x:c>
      <x:c r="B5" s="2" t="str">
        <x:v>Diagnóstico</x:v>
      </x:c>
      <x:c r="C5" s="2" t="str">
        <x:v>Analiza el archivo y crea un resumen ejecutivo con oportunidad, pedidos abiertos, concentración por programa y riesgos. Usa solo los datos del archivo.</x:v>
      </x:c>
      <x:c r="D5" s="2" t="str">
        <x:v>Resumen con cifras y riesgos</x:v>
      </x:c>
    </x:row>
    <x:row r="6" ht="15" hidden="0" customHeight="1">
      <x:c r="A6" s="2" t="n">
        <x:v>2</x:v>
      </x:c>
      <x:c r="B6" s="2" t="str">
        <x:v>Priorización</x:v>
      </x:c>
      <x:c r="C6" s="2" t="str">
        <x:v>Identifica los cinco clientes o SKUs con mayor ingreso incremental y explica la evidencia.</x:v>
      </x:c>
      <x:c r="D6" s="2" t="str">
        <x:v>Tabla priorizada</x:v>
      </x:c>
    </x:row>
    <x:row r="7" ht="15" hidden="0" customHeight="1">
      <x:c r="A7" s="2" t="n">
        <x:v>3</x:v>
      </x:c>
      <x:c r="B7" s="2" t="str">
        <x:v>Crítica</x:v>
      </x:c>
      <x:c r="C7" s="2" t="str">
        <x:v>Revisa si liberar toda la demanda está respaldado por los datos. Separa hechos, supuestos y faltantes.</x:v>
      </x:c>
      <x:c r="D7" s="2" t="str">
        <x:v>Crítica de la primera respuesta</x:v>
      </x:c>
    </x:row>
    <x:row r="8" ht="15" hidden="0" customHeight="1">
      <x:c r="A8" s="2" t="n">
        <x:v>4</x:v>
      </x:c>
      <x:c r="B8" s="2" t="str">
        <x:v>Reunión</x:v>
      </x:c>
      <x:c r="C8" s="2" t="str">
        <x:v>Prepara una agenda de 30 minutos para Ventas y Operaciones.</x:v>
      </x:c>
      <x:c r="D8" s="2" t="str">
        <x:v>Agenda con decisiones</x:v>
      </x:c>
    </x:row>
    <x:row r="9" ht="15" hidden="0" customHeight="1">
      <x:c r="A9" s="2"/>
      <x:c r="B9" s="2"/>
      <x:c r="C9" s="2"/>
      <x:c r="D9" s="2"/>
    </x:row>
    <x:row r="10" ht="15" hidden="0" customHeight="1">
      <x:c r="A10" s="2"/>
      <x:c r="B10" s="2"/>
      <x:c r="C10" s="2"/>
      <x:c r="D10" s="2"/>
    </x:row>
    <x:row r="11" ht="15" hidden="0" customHeight="1">
      <x:c r="A11" s="2"/>
      <x:c r="B11" s="2"/>
      <x:c r="C11" s="2"/>
      <x:c r="D11" s="2"/>
    </x:row>
    <x:row r="12" ht="15" hidden="0" customHeight="1">
      <x:c r="A12" s="2"/>
      <x:c r="B12" s="2"/>
      <x:c r="C12" s="2"/>
      <x:c r="D12" s="2"/>
    </x:row>
    <x:row r="13" ht="15" hidden="0" customHeight="1">
      <x:c r="A13" s="2"/>
      <x:c r="B13" s="2"/>
      <x:c r="C13" s="2"/>
      <x:c r="D13" s="2"/>
    </x:row>
    <x:row r="14" ht="15" hidden="0" customHeight="1">
      <x:c r="A14" s="2"/>
      <x:c r="B14" s="2"/>
      <x:c r="C14" s="2"/>
      <x:c r="D14" s="2"/>
    </x:row>
    <x:row r="15" ht="15" hidden="0" customHeight="1">
      <x:c r="A15" s="2"/>
      <x:c r="B15" s="2"/>
      <x:c r="C15" s="2"/>
      <x:c r="D15" s="2"/>
    </x:row>
    <x:row r="16" ht="15" hidden="0" customHeight="1">
      <x:c r="A16" s="2"/>
      <x:c r="B16" s="2"/>
      <x:c r="C16" s="2"/>
      <x:c r="D16" s="2"/>
    </x:row>
    <x:row r="17" ht="15" hidden="0" customHeight="1">
      <x:c r="A17" s="2"/>
      <x:c r="B17" s="2"/>
      <x:c r="C17" s="2"/>
      <x:c r="D17" s="2"/>
    </x:row>
    <x:row r="18" ht="15" hidden="0" customHeight="1">
      <x:c r="A18" s="2"/>
      <x:c r="B18" s="2"/>
      <x:c r="C18" s="2"/>
      <x:c r="D18" s="2"/>
    </x:row>
    <x:row r="19" ht="15" hidden="0" customHeight="1">
      <x:c r="A19" s="2"/>
      <x:c r="B19" s="2"/>
      <x:c r="C19" s="2"/>
      <x:c r="D19" s="2"/>
    </x:row>
    <x:row r="20" ht="15" hidden="0" customHeight="1">
      <x:c r="A20" s="2"/>
      <x:c r="B20" s="2"/>
      <x:c r="C20" s="2"/>
      <x:c r="D20" s="2"/>
    </x:row>
  </x:sheetData>
  <x:mergeCells>
    <x:mergeCell ref="A1:D1"/>
    <x:mergeCell ref="A1:D2"/>
  </x:mergeCells>
  <x:pageMargins left="0.7" right="0.7" top="0.75" bottom="0.75" header="0.3" footer="0.3"/>
  <x:tableParts count="1">
    <x:tablePart xmlns:r="http://schemas.openxmlformats.org/officeDocument/2006/relationships" r:id="R5c28f4977b834364"/>
  </x:tableParts>
</x:worksheet>
</file>