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1c2ae14fa643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0066b47ab72d4ed4"/>
    <x:sheet xmlns:r="http://schemas.openxmlformats.org/officeDocument/2006/relationships" name="Detalle_Financiero" sheetId="2" r:id="R4a652e12f1ec43cc"/>
    <x:sheet xmlns:r="http://schemas.openxmlformats.org/officeDocument/2006/relationships" name="Escenarios" sheetId="3" r:id="Raf434d38ee164e7d"/>
    <x:sheet xmlns:r="http://schemas.openxmlformats.org/officeDocument/2006/relationships" name="Prompts_ChatGPT" sheetId="4" r:id="R47fd89f740cb42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"/>
    <x:numFmt numFmtId="201" formatCode="0.0%"/>
  </x:numFmts>
  <x:fonts count="8">
    <x:font>
      <x:sz val="11"/>
      <x:name val="Carlito"/>
    </x:font>
    <x:font>
      <x:sz val="10"/>
      <x:color rgb="FF1F1F1F"/>
      <x:name val="Arial"/>
    </x:font>
    <x:font>
      <x:b/>
      <x:sz val="16"/>
      <x:color rgb="FF174A5E"/>
      <x:name val="Arial"/>
    </x:font>
    <x:font>
      <x:b/>
      <x:i/>
      <x:sz val="10"/>
      <x:color rgb="FF666666"/>
      <x:name val="Arial"/>
    </x:font>
    <x:font>
      <x:i/>
      <x:sz val="10"/>
      <x:color rgb="FF666666"/>
      <x:name val="Arial"/>
    </x:font>
    <x:font>
      <x:b/>
      <x:sz val="11"/>
      <x:color rgb="FF174A5E"/>
      <x:name val="Arial"/>
    </x:font>
    <x:font>
      <x:b/>
      <x:sz val="10"/>
      <x:color rgb="FFFFFFFF"/>
      <x:name val="Arial"/>
    </x:font>
    <x:font>
      <x:b/>
      <x:sz val="10"/>
      <x:color rgb="FF174A5E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D9EAF0"/>
      </x:patternFill>
    </x:fill>
    <x:fill>
      <x:patternFill patternType="solid">
        <x:fgColor rgb="FFDCEAF2"/>
      </x:patternFill>
    </x:fill>
    <x:fill>
      <x:patternFill patternType="solid">
        <x:fgColor rgb="FF174A5E"/>
      </x:patternFill>
    </x:fill>
  </x:fills>
  <x:borders count="1">
    <x:border/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9fd651a3ab4cba" /><Relationship Type="http://schemas.openxmlformats.org/officeDocument/2006/relationships/theme" Target="/xl/theme/theme1.xml" Id="R3f7e2b02efb4438c" /><Relationship Type="http://schemas.openxmlformats.org/officeDocument/2006/relationships/sharedStrings" Target="/xl/sharedStrings.xml" Id="R928d9c6086f54af0" /><Relationship Type="http://schemas.openxmlformats.org/officeDocument/2006/relationships/worksheet" Target="/xl/worksheets/sheet1.xml" Id="R0066b47ab72d4ed4" /><Relationship Type="http://schemas.openxmlformats.org/officeDocument/2006/relationships/worksheet" Target="/xl/worksheets/sheet2.xml" Id="R4a652e12f1ec43cc" /><Relationship Type="http://schemas.openxmlformats.org/officeDocument/2006/relationships/worksheet" Target="/xl/worksheets/sheet3.xml" Id="Raf434d38ee164e7d" /><Relationship Type="http://schemas.openxmlformats.org/officeDocument/2006/relationships/worksheet" Target="/xl/worksheets/sheet4.xml" Id="R47fd89f740cb420b" /></Relationships>
</file>

<file path=xl/tables/table1.xml><?xml version="1.0" encoding="utf-8"?>
<x:table xmlns:x="http://schemas.openxmlformats.org/spreadsheetml/2006/main" id="1" name="ScenarioSummary" displayName="ScenarioSummary" ref="D5:G8" headerRowCount="1" totalsRowCount="0" totalsRowShown="0">
  <x:tableColumns count="4">
    <x:tableColumn id="1" name="Escenario"/>
    <x:tableColumn id="2" name="Ingreso incremental"/>
    <x:tableColumn id="3" name="Beneficio neto"/>
    <x:tableColumn id="4" name="Postura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ates" displayName="Gates" ref="A15:C19" headerRowCount="1" totalsRowCount="0" totalsRowShown="0">
  <x:tableColumns count="3">
    <x:tableColumn id="1" name="Gate"/>
    <x:tableColumn id="2" name="Condición mínima"/>
    <x:tableColumn id="3" name="Estad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inanceDetail" displayName="FinanceDetail" ref="A4:J12" headerRowCount="1" totalsRowCount="0" totalsRowShown="0">
  <x:tableColumns count="10">
    <x:tableColumn id="1" name="Programa"/>
    <x:tableColumn id="2" name="Unidades incrementales"/>
    <x:tableColumn id="3" name="Ingreso incremental MXN"/>
    <x:tableColumn id="4" name="Margen bruto"/>
    <x:tableColumn id="5" name="Utilidad bruta MXN"/>
    <x:tableColumn id="6" name="Mitigación MXN"/>
    <x:tableColumn id="7" name="Beneficio neto MXN"/>
    <x:tableColumn id="8" name="Riesgo"/>
    <x:tableColumn id="9" name="Inversión inicial MXN"/>
    <x:tableColumn id="10" name="Observació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cenarioDetail" displayName="ScenarioDetail" ref="A3:H7" headerRowCount="1" totalsRowCount="0" totalsRowShown="0">
  <x:tableColumns count="8">
    <x:tableColumn id="1" name="Escenario"/>
    <x:tableColumn id="2" name="Ingreso incremental"/>
    <x:tableColumn id="3" name="Margen"/>
    <x:tableColumn id="4" name="Beneficio neto"/>
    <x:tableColumn id="5" name="Postura"/>
    <x:tableColumn id="6" name="Condición"/>
    <x:tableColumn id="7" name="Riesgo"/>
    <x:tableColumn id="8" name="Comentario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romptTable" displayName="PromptTable" ref="A4:D8" headerRowCount="1" totalsRowCount="0" totalsRowShown="0">
  <x:tableColumns count="4">
    <x:tableColumn id="1" name="N.º"/>
    <x:tableColumn id="2" name="Ejercicio"/>
    <x:tableColumn id="3" name="Prompt para copiar"/>
    <x:tableColumn id="4" name="Resultado esperad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5f38a91130c44b1" /><Relationship Type="http://schemas.openxmlformats.org/officeDocument/2006/relationships/table" Target="/xl/tables/table2.xml" Id="R1834b0b819bd4f9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6ff7c67fc4cd4c3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add095b309ee453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376f4bbf4fb5441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9" hidden="0" customWidth="1"/>
    <x:col min="4" max="4" width="22" hidden="0" customWidth="1"/>
    <x:col min="5" max="5" width="18" hidden="0" customWidth="1"/>
    <x:col min="6" max="6" width="19" hidden="0" customWidth="1"/>
    <x:col min="7" max="7" width="24" hidden="0" customWidth="1"/>
  </x:cols>
  <x:sheetData>
    <x:row r="1" ht="15" hidden="0" customHeight="1">
      <x:c r="A1" s="4" t="str">
        <x:v>NovaDrive Components, S.A. de C.V. | Impacto financiero y decisión</x:v>
      </x:c>
      <x:c r="B1" s="4"/>
      <x:c r="C1" s="4"/>
      <x:c r="D1" s="4"/>
      <x:c r="E1" s="4"/>
      <x:c r="F1" s="4"/>
      <x:c r="G1" s="4"/>
      <x:c r="H1" s="4"/>
      <x:c r="I1" s="4"/>
      <x:c r="J1" s="4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5" hidden="0" customHeight="1">
      <x:c r="A2" s="5" t="str">
        <x:v>Caso sintético para capacitación con ChatGPT gratuito | Corte: septiembre de 2026</x:v>
      </x:c>
      <x:c r="B2" s="5"/>
      <x:c r="C2" s="5"/>
      <x:c r="D2" s="5"/>
      <x:c r="E2" s="5"/>
      <x:c r="F2" s="5"/>
      <x:c r="G2" s="5"/>
      <x:c r="H2" s="5"/>
      <x:c r="I2" s="5"/>
      <x:c r="J2" s="5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15" hidden="0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15" hidden="0" customHeight="1">
      <x:c r="A4" s="7" t="str">
        <x:v>Indicadores clave</x:v>
      </x:c>
      <x:c r="B4" s="7"/>
      <x:c r="C4" s="2"/>
      <x:c r="D4" s="7" t="str">
        <x:v>Escenarios</x:v>
      </x:c>
      <x:c r="E4" s="7"/>
      <x:c r="F4" s="7"/>
      <x:c r="G4" s="7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15" hidden="0" customHeight="1">
      <x:c r="A5" s="2" t="str">
        <x:v>Ingreso incremental mensual MXN</x:v>
      </x:c>
      <x:c r="B5" s="10" t="n">
        <x:f>SUM(Detalle_Financiero!C5:C12)</x:f>
        <x:v>53825860</x:v>
      </x:c>
      <x:c r="C5" s="2"/>
      <x:c r="D5" s="16" t="str">
        <x:v>Escenario</x:v>
      </x:c>
      <x:c r="E5" s="16" t="str">
        <x:v>Ingreso incremental</x:v>
      </x:c>
      <x:c r="F5" s="16" t="str">
        <x:v>Beneficio neto</x:v>
      </x:c>
      <x:c r="G5" s="16" t="str">
        <x:v>Postura</x:v>
      </x:c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15" hidden="0" customHeight="1">
      <x:c r="A6" s="2" t="str">
        <x:v>Utilidad bruta incremental MXN</x:v>
      </x:c>
      <x:c r="B6" s="10" t="n">
        <x:f>SUM(Detalle_Financiero!E5:E12)</x:f>
        <x:v>16433484</x:v>
      </x:c>
      <x:c r="C6" s="2"/>
      <x:c r="D6" s="2" t="str">
        <x:f>Escenarios!A5</x:f>
        <x:v>Go</x:v>
      </x:c>
      <x:c r="E6" s="8" t="n">
        <x:f>Escenarios!B5</x:f>
        <x:v>53825860</x:v>
      </x:c>
      <x:c r="F6" s="8" t="n">
        <x:f>Escenarios!D5</x:f>
        <x:v>16433484</x:v>
      </x:c>
      <x:c r="G6" s="2" t="str">
        <x:f>Escenarios!E5</x:f>
        <x:v>No recomendado sin gates</x:v>
      </x:c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15" hidden="0" customHeight="1">
      <x:c r="A7" s="2" t="str">
        <x:v>Costo de mitigación MXN</x:v>
      </x:c>
      <x:c r="B7" s="10" t="n">
        <x:f>SUM(Detalle_Financiero!F5:F12)</x:f>
        <x:v>310000</x:v>
      </x:c>
      <x:c r="C7" s="2"/>
      <x:c r="D7" s="2" t="str">
        <x:f>Escenarios!A6</x:f>
        <x:v>No Go</x:v>
      </x:c>
      <x:c r="E7" s="8" t="n">
        <x:f>Escenarios!B6</x:f>
        <x:v>0</x:v>
      </x:c>
      <x:c r="F7" s="8" t="n">
        <x:f>Escenarios!D6</x:f>
        <x:v>0</x:v>
      </x:c>
      <x:c r="G7" s="2" t="str">
        <x:f>Escenarios!E6</x:f>
        <x:v>Rechazar</x:v>
      </x:c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15" hidden="0" customHeight="1">
      <x:c r="A8" s="2" t="str">
        <x:v>Beneficio neto mensual MXN</x:v>
      </x:c>
      <x:c r="B8" s="10" t="n">
        <x:f>B6-B7</x:f>
        <x:v>16123484</x:v>
      </x:c>
      <x:c r="C8" s="2"/>
      <x:c r="D8" s="2" t="str">
        <x:f>Escenarios!A7</x:f>
        <x:v>Go con condiciones</x:v>
      </x:c>
      <x:c r="E8" s="8" t="n">
        <x:f>Escenarios!B7</x:f>
        <x:v>45751981</x:v>
      </x:c>
      <x:c r="F8" s="8" t="n">
        <x:f>Escenarios!D7</x:f>
        <x:v>13565594.299999999</x:v>
      </x:c>
      <x:c r="G8" s="2" t="str">
        <x:f>Escenarios!E7</x:f>
        <x:v>Recomendado</x:v>
      </x:c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15" hidden="0" customHeight="1">
      <x:c r="A9" s="2" t="str">
        <x:v>Margen incremental</x:v>
      </x:c>
      <x:c r="B9" s="11" t="n">
        <x:f>B6/B5</x:f>
        <x:v>0.3053083406377529</x:v>
      </x:c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15" hidden="0" customHeight="1">
      <x:c r="A10" s="2" t="str">
        <x:v>Recomendación</x:v>
      </x:c>
      <x:c r="B10" s="12" t="str">
        <x:f>IF(B9&gt;=0.28,"Go con condiciones","No Go")</x:f>
        <x:v>Go con condiciones</x:v>
      </x:c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15" hidden="0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15" hidden="0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15" hidden="0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15" hidden="0" customHeight="1">
      <x:c r="A14" s="7" t="str">
        <x:v>Gates de aprobación</x:v>
      </x:c>
      <x:c r="B14" s="7"/>
      <x:c r="C14" s="7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15" hidden="0" customHeight="1">
      <x:c r="A15" s="16" t="str">
        <x:v>Gate</x:v>
      </x:c>
      <x:c r="B15" s="16" t="str">
        <x:v>Condición mínima</x:v>
      </x:c>
      <x:c r="C15" s="16" t="str">
        <x:v>Estado</x:v>
      </x:c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15" hidden="0" customHeight="1">
      <x:c r="A16" s="2" t="str">
        <x:v>Capacidad</x:v>
      </x:c>
      <x:c r="B16" s="2" t="str">
        <x:v>Mezcla liberada sin déficit crítico</x:v>
      </x:c>
      <x:c r="C16" s="2" t="str">
        <x:v>Pendiente</x:v>
      </x:c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15" hidden="0" customHeight="1">
      <x:c r="A17" s="2" t="str">
        <x:v>Inventario</x:v>
      </x:c>
      <x:c r="B17" s="2" t="str">
        <x:v>Materiales críticos por encima de 14 días</x:v>
      </x:c>
      <x:c r="C17" s="2" t="str">
        <x:v>Pendiente</x:v>
      </x:c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15" hidden="0" customHeight="1">
      <x:c r="A18" s="2" t="str">
        <x:v>Proveedores</x:v>
      </x:c>
      <x:c r="B18" s="2" t="str">
        <x:v>Mitigación aprobada para críticos</x:v>
      </x:c>
      <x:c r="C18" s="2" t="str">
        <x:v>Pendiente</x:v>
      </x:c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15" hidden="0" customHeight="1">
      <x:c r="A19" s="2" t="str">
        <x:v>Finanzas</x:v>
      </x:c>
      <x:c r="B19" s="2" t="str">
        <x:v>Margen ≥ 28% y beneficio neto positivo</x:v>
      </x:c>
      <x:c r="C19" s="2" t="str">
        <x:v>En evaluación</x:v>
      </x:c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15" hidden="0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15" hidden="0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15" hidden="0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36" hidden="0" customHeight="1">
      <x:c r="A23" s="17" t="str">
        <x:v>Nota</x:v>
      </x:c>
      <x:c r="B23" s="18" t="str">
        <x:v>Beneficio neto = utilidad bruta incremental - mitigación.</x:v>
      </x:c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36" hidden="0" customHeight="1">
      <x:c r="A24" s="17" t="str">
        <x:v>Uso</x:v>
      </x:c>
      <x:c r="B24" s="18" t="str">
        <x:v>Pida primero la lectura financiera y después la crítica de supuestos.</x:v>
      </x:c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24" hidden="0" customHeight="1">
      <x:c r="A25" s="17" t="str">
        <x:v>Límite</x:v>
      </x:c>
      <x:c r="B25" s="18" t="str">
        <x:v>Costos sintéticos, no presupuesto aprobado.</x:v>
      </x:c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24" hidden="0" customHeight="1">
      <x:c r="A26" s="17" t="str">
        <x:v>Siguiente paso</x:v>
      </x:c>
      <x:c r="B26" s="18" t="str">
        <x:v>Validar gates con los otros cuatro archivos.</x:v>
      </x:c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15" hidden="0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15" hidden="0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15" hidden="0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15" hidden="0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15" hidden="0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15" hidden="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15" hidden="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15" hidden="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15" hidden="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15" hidden="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15" hidden="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15" hidden="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15" hidden="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15" hidden="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15" hidden="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15" hidden="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15" hidden="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15" hidden="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15" hidden="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15" hidden="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15" hidden="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15" hidden="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15" hidden="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15" hidden="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15" hidden="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15" hidden="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15" hidden="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15" hidden="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15" hidden="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15" hidden="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15" hidden="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15" hidden="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15" hidden="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15" hidden="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15" hidden="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15" hidden="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15" hidden="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15" hidden="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15" hidden="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15" hidden="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15" hidden="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15" hidden="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15" hidden="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15" hidden="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15" hidden="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15" hidden="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15" hidden="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15" hidden="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15" hidden="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15" hidden="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1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1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1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1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15" hidden="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15" hidden="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15" hidden="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15" hidden="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15" hidden="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15" hidden="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15" hidden="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15" hidden="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15" hidden="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15" hidden="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15" hidden="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15" hidden="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15" hidden="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15" hidden="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15" hidden="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15" hidden="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15" hidden="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15" hidden="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15" hidden="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15" hidden="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</x:sheetData>
  <x:mergeCells>
    <x:mergeCell ref="A1:J1"/>
    <x:mergeCell ref="A1:J2"/>
    <x:mergeCell ref="A4:B4"/>
    <x:mergeCell ref="D4:G4"/>
    <x:mergeCell ref="A14:C14"/>
  </x:mergeCells>
  <x:pageMargins left="0.7" right="0.7" top="0.75" bottom="0.75" header="0.3" footer="0.3"/>
  <x:tableParts count="2">
    <x:tablePart xmlns:r="http://schemas.openxmlformats.org/officeDocument/2006/relationships" r:id="R45f38a91130c44b1"/>
    <x:tablePart xmlns:r="http://schemas.openxmlformats.org/officeDocument/2006/relationships" r:id="R1834b0b819bd4f9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19" hidden="0" customWidth="1"/>
    <x:col min="4" max="4" width="14" hidden="0" customWidth="1"/>
    <x:col min="5" max="5" width="20" hidden="0" customWidth="1"/>
    <x:col min="6" max="6" width="17" hidden="0" customWidth="1"/>
    <x:col min="7" max="7" width="18" hidden="0" customWidth="1"/>
    <x:col min="8" max="8" width="14" hidden="0" customWidth="1"/>
    <x:col min="9" max="9" width="18" hidden="0" customWidth="1"/>
    <x:col min="10" max="10" width="28" hidden="0" customWidth="1"/>
  </x:cols>
  <x:sheetData>
    <x:row r="1" ht="15" hidden="0" customHeight="1">
      <x:c r="A1" s="2" t="str">
        <x:v>NovaDrive Components, S.A. de C.V. | Detalle financiero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5" hidden="0" customHeight="1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15" hidden="0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24" hidden="0" customHeight="1">
      <x:c r="A4" s="16" t="str">
        <x:v>Programa</x:v>
      </x:c>
      <x:c r="B4" s="16" t="str">
        <x:v>Unidades incrementales</x:v>
      </x:c>
      <x:c r="C4" s="16" t="str">
        <x:v>Ingreso incremental MXN</x:v>
      </x:c>
      <x:c r="D4" s="16" t="str">
        <x:v>Margen bruto</x:v>
      </x:c>
      <x:c r="E4" s="16" t="str">
        <x:v>Utilidad bruta MXN</x:v>
      </x:c>
      <x:c r="F4" s="16" t="str">
        <x:v>Mitigación MXN</x:v>
      </x:c>
      <x:c r="G4" s="16" t="str">
        <x:v>Beneficio neto MXN</x:v>
      </x:c>
      <x:c r="H4" s="16" t="str">
        <x:v>Riesgo</x:v>
      </x:c>
      <x:c r="I4" s="16" t="str">
        <x:v>Inversión inicial MXN</x:v>
      </x:c>
      <x:c r="J4" s="16" t="str">
        <x:v>Observación</x:v>
      </x:c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15" hidden="0" customHeight="1">
      <x:c r="A5" s="2" t="str">
        <x:v>Programa VE</x:v>
      </x:c>
      <x:c r="B5" s="2" t="n">
        <x:v>74880</x:v>
      </x:c>
      <x:c r="C5" s="8" t="n">
        <x:f>B5*IF(A5="Programa VE",610,IF(A5="SUV híbrida",185,IF(A5="Sedán compacto",72,IF(A5="Vehículo comercial",190,0))))</x:f>
        <x:v>45676800</x:v>
      </x:c>
      <x:c r="D5" s="9" t="n">
        <x:v>0.31</x:v>
      </x:c>
      <x:c r="E5" s="8" t="n">
        <x:f>C5*D5</x:f>
        <x:v>14159808</x:v>
      </x:c>
      <x:c r="F5" s="8" t="n">
        <x:v>92000</x:v>
      </x:c>
      <x:c r="G5" s="8" t="n">
        <x:f>E5-F5</x:f>
        <x:v>14067808</x:v>
      </x:c>
      <x:c r="H5" s="2" t="str">
        <x:v>Alto</x:v>
      </x:c>
      <x:c r="I5" s="2" t="n">
        <x:v>260000</x:v>
      </x:c>
      <x:c r="J5" s="2" t="str">
        <x:v>Baterías y arneses HV</x:v>
      </x:c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15" hidden="0" customHeight="1">
      <x:c r="A6" s="2" t="str">
        <x:v>SUV híbrida</x:v>
      </x:c>
      <x:c r="B6" s="2" t="n">
        <x:v>20100</x:v>
      </x:c>
      <x:c r="C6" s="8" t="n">
        <x:f>B6*IF(A6="Programa VE",610,IF(A6="SUV híbrida",185,IF(A6="Sedán compacto",72,IF(A6="Vehículo comercial",190,0))))</x:f>
        <x:v>3718500</x:v>
      </x:c>
      <x:c r="D6" s="9" t="n">
        <x:v>0.28</x:v>
      </x:c>
      <x:c r="E6" s="8" t="n">
        <x:f>C6*D6</x:f>
        <x:v>1041180.0000000001</x:v>
      </x:c>
      <x:c r="F6" s="8" t="n">
        <x:v>43000</x:v>
      </x:c>
      <x:c r="G6" s="8" t="n">
        <x:f>E6-F6</x:f>
        <x:v>998180.0000000001</x:v>
      </x:c>
      <x:c r="H6" s="2" t="str">
        <x:v>Alto</x:v>
      </x:c>
      <x:c r="I6" s="2" t="n">
        <x:v>145000</x:v>
      </x:c>
      <x:c r="J6" s="2" t="str">
        <x:v>Acero y moldes</x:v>
      </x:c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15" hidden="0" customHeight="1">
      <x:c r="A7" s="2" t="str">
        <x:v>Sedán compacto</x:v>
      </x:c>
      <x:c r="B7" s="2" t="n">
        <x:v>16780</x:v>
      </x:c>
      <x:c r="C7" s="8" t="n">
        <x:f>B7*IF(A7="Programa VE",610,IF(A7="SUV híbrida",185,IF(A7="Sedán compacto",72,IF(A7="Vehículo comercial",190,0))))</x:f>
        <x:v>1208160</x:v>
      </x:c>
      <x:c r="D7" s="9" t="n">
        <x:v>0.3</x:v>
      </x:c>
      <x:c r="E7" s="8" t="n">
        <x:f>C7*D7</x:f>
        <x:v>362448</x:v>
      </x:c>
      <x:c r="F7" s="8" t="n">
        <x:v>24000</x:v>
      </x:c>
      <x:c r="G7" s="8" t="n">
        <x:f>E7-F7</x:f>
        <x:v>338448</x:v>
      </x:c>
      <x:c r="H7" s="2" t="str">
        <x:v>Medio</x:v>
      </x:c>
      <x:c r="I7" s="2" t="n">
        <x:v>85000</x:v>
      </x:c>
      <x:c r="J7" s="2" t="str">
        <x:v>Piezas interiores</x:v>
      </x:c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15" hidden="0" customHeight="1">
      <x:c r="A8" s="2" t="str">
        <x:v>Vehículo comercial</x:v>
      </x:c>
      <x:c r="B8" s="2" t="n">
        <x:v>16960</x:v>
      </x:c>
      <x:c r="C8" s="8" t="n">
        <x:f>B8*IF(A8="Programa VE",610,IF(A8="SUV híbrida",185,IF(A8="Sedán compacto",72,IF(A8="Vehículo comercial",190,0))))</x:f>
        <x:v>3222400</x:v>
      </x:c>
      <x:c r="D8" s="9" t="n">
        <x:v>0.27</x:v>
      </x:c>
      <x:c r="E8" s="8" t="n">
        <x:f>C8*D8</x:f>
        <x:v>870048</x:v>
      </x:c>
      <x:c r="F8" s="8" t="n">
        <x:v>51000</x:v>
      </x:c>
      <x:c r="G8" s="8" t="n">
        <x:f>E8-F8</x:f>
        <x:v>819048</x:v>
      </x:c>
      <x:c r="H8" s="2" t="str">
        <x:v>Alto</x:v>
      </x:c>
      <x:c r="I8" s="2" t="n">
        <x:v>180000</x:v>
      </x:c>
      <x:c r="J8" s="2" t="str">
        <x:v>Soldadura y pintura</x:v>
      </x:c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15" hidden="0" customHeight="1">
      <x:c r="A9" s="2" t="str">
        <x:v>Calidad y validación</x:v>
      </x:c>
      <x:c r="B9" s="2" t="n">
        <x:v>0</x:v>
      </x:c>
      <x:c r="C9" s="8" t="n">
        <x:f>B9*IF(A9="Programa VE",610,IF(A9="SUV híbrida",185,IF(A9="Sedán compacto",72,IF(A9="Vehículo comercial",190,0))))</x:f>
        <x:v>0</x:v>
      </x:c>
      <x:c r="D9" s="9" t="n">
        <x:v>0</x:v>
      </x:c>
      <x:c r="E9" s="8" t="n">
        <x:f>C9*D9</x:f>
        <x:v>0</x:v>
      </x:c>
      <x:c r="F9" s="8" t="n">
        <x:v>18000</x:v>
      </x:c>
      <x:c r="G9" s="8" t="n">
        <x:f>E9-F9</x:f>
        <x:v>-18000</x:v>
      </x:c>
      <x:c r="H9" s="2" t="str">
        <x:v>Medio</x:v>
      </x:c>
      <x:c r="I9" s="2" t="n">
        <x:v>42000</x:v>
      </x:c>
      <x:c r="J9" s="2" t="str">
        <x:v>Pruebas de homologación</x:v>
      </x:c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15" hidden="0" customHeight="1">
      <x:c r="A10" s="2" t="str">
        <x:v>Logística prioritaria</x:v>
      </x:c>
      <x:c r="B10" s="2" t="n">
        <x:v>0</x:v>
      </x:c>
      <x:c r="C10" s="8" t="n">
        <x:f>B10*IF(A10="Programa VE",610,IF(A10="SUV híbrida",185,IF(A10="Sedán compacto",72,IF(A10="Vehículo comercial",190,0))))</x:f>
        <x:v>0</x:v>
      </x:c>
      <x:c r="D10" s="9" t="n">
        <x:v>0</x:v>
      </x:c>
      <x:c r="E10" s="8" t="n">
        <x:f>C10*D10</x:f>
        <x:v>0</x:v>
      </x:c>
      <x:c r="F10" s="8" t="n">
        <x:v>26000</x:v>
      </x:c>
      <x:c r="G10" s="8" t="n">
        <x:f>E10-F10</x:f>
        <x:v>-26000</x:v>
      </x:c>
      <x:c r="H10" s="2" t="str">
        <x:v>Medio</x:v>
      </x:c>
      <x:c r="I10" s="2" t="n">
        <x:v>0</x:v>
      </x:c>
      <x:c r="J10" s="2" t="str">
        <x:v>Fletes y secuenciación</x:v>
      </x:c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15" hidden="0" customHeight="1">
      <x:c r="A11" s="2" t="str">
        <x:v>Reserva de contingencia</x:v>
      </x:c>
      <x:c r="B11" s="2" t="n">
        <x:v>0</x:v>
      </x:c>
      <x:c r="C11" s="8" t="n">
        <x:f>B11*IF(A11="Programa VE",610,IF(A11="SUV híbrida",185,IF(A11="Sedán compacto",72,IF(A11="Vehículo comercial",190,0))))</x:f>
        <x:v>0</x:v>
      </x:c>
      <x:c r="D11" s="9" t="n">
        <x:v>0</x:v>
      </x:c>
      <x:c r="E11" s="8" t="n">
        <x:f>C11*D11</x:f>
        <x:v>0</x:v>
      </x:c>
      <x:c r="F11" s="8" t="n">
        <x:v>32000</x:v>
      </x:c>
      <x:c r="G11" s="8" t="n">
        <x:f>E11-F11</x:f>
        <x:v>-32000</x:v>
      </x:c>
      <x:c r="H11" s="2" t="str">
        <x:v>Medio</x:v>
      </x:c>
      <x:c r="I11" s="2" t="n">
        <x:v>0</x:v>
      </x:c>
      <x:c r="J11" s="2" t="str">
        <x:v>Protección de ejecución</x:v>
      </x:c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15" hidden="0" customHeight="1">
      <x:c r="A12" s="2" t="str">
        <x:v>Programa alterno</x:v>
      </x:c>
      <x:c r="B12" s="2" t="n">
        <x:v>0</x:v>
      </x:c>
      <x:c r="C12" s="8" t="n">
        <x:f>B12*IF(A12="Programa VE",610,IF(A12="SUV híbrida",185,IF(A12="Sedán compacto",72,IF(A12="Vehículo comercial",190,0))))</x:f>
        <x:v>0</x:v>
      </x:c>
      <x:c r="D12" s="9" t="n">
        <x:v>0</x:v>
      </x:c>
      <x:c r="E12" s="8" t="n">
        <x:f>C12*D12</x:f>
        <x:v>0</x:v>
      </x:c>
      <x:c r="F12" s="8" t="n">
        <x:v>24000</x:v>
      </x:c>
      <x:c r="G12" s="8" t="n">
        <x:f>E12-F12</x:f>
        <x:v>-24000</x:v>
      </x:c>
      <x:c r="H12" s="2" t="str">
        <x:v>Bajo</x:v>
      </x:c>
      <x:c r="I12" s="2" t="n">
        <x:v>30000</x:v>
      </x:c>
      <x:c r="J12" s="2" t="str">
        <x:v>Proveedor alterno</x:v>
      </x:c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15" hidden="0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15" hidden="0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15" hidden="0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15" hidden="0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15" hidden="0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15" hidden="0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15" hidden="0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15" hidden="0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15" hidden="0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15" hidden="0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15" hidden="0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15" hidden="0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15" hidden="0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15" hidden="0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15" hidden="0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15" hidden="0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15" hidden="0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15" hidden="0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15" hidden="0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15" hidden="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15" hidden="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15" hidden="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15" hidden="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15" hidden="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15" hidden="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15" hidden="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15" hidden="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15" hidden="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15" hidden="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15" hidden="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15" hidden="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15" hidden="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15" hidden="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15" hidden="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15" hidden="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15" hidden="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15" hidden="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15" hidden="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15" hidden="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15" hidden="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15" hidden="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15" hidden="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15" hidden="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15" hidden="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15" hidden="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15" hidden="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15" hidden="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15" hidden="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15" hidden="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15" hidden="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15" hidden="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15" hidden="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15" hidden="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15" hidden="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15" hidden="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15" hidden="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15" hidden="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15" hidden="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15" hidden="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15" hidden="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15" hidden="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15" hidden="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15" hidden="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15" hidden="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1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1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1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1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15" hidden="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15" hidden="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15" hidden="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15" hidden="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15" hidden="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15" hidden="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15" hidden="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15" hidden="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15" hidden="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15" hidden="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15" hidden="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15" hidden="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15" hidden="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15" hidden="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15" hidden="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15" hidden="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15" hidden="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15" hidden="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15" hidden="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15" hidden="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6ff7c67fc4cd4c3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13" hidden="0" customWidth="1"/>
    <x:col min="4" max="4" width="18" hidden="0" customWidth="1"/>
    <x:col min="5" max="5" width="24" hidden="0" customWidth="1"/>
    <x:col min="6" max="6" width="28" hidden="0" customWidth="1"/>
    <x:col min="7" max="7" width="14" hidden="0" customWidth="1"/>
    <x:col min="8" max="8" width="32" hidden="0" customWidth="1"/>
  </x:cols>
  <x:sheetData>
    <x:row r="1" ht="15" hidden="0" customHeight="1">
      <x:c r="A1" s="2" t="str">
        <x:v>Escenarios sintéticos de decisión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5" hidden="0" customHeight="1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15" hidden="0" customHeight="1">
      <x:c r="A3" s="16" t="str">
        <x:v>Escenario</x:v>
      </x:c>
      <x:c r="B3" s="16" t="str">
        <x:v>Ingreso incremental</x:v>
      </x:c>
      <x:c r="C3" s="16" t="str">
        <x:v>Margen</x:v>
      </x:c>
      <x:c r="D3" s="16" t="str">
        <x:v>Beneficio neto</x:v>
      </x:c>
      <x:c r="E3" s="16" t="str">
        <x:v>Postura</x:v>
      </x:c>
      <x:c r="F3" s="16" t="str">
        <x:v>Condición</x:v>
      </x:c>
      <x:c r="G3" s="16" t="str">
        <x:v>Riesgo</x:v>
      </x:c>
      <x:c r="H3" s="16" t="str">
        <x:v>Comentario</x:v>
      </x:c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15" hidden="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15" hidden="0" customHeight="1">
      <x:c r="A5" s="2" t="str">
        <x:v>Go</x:v>
      </x:c>
      <x:c r="B5" s="8" t="n">
        <x:f>Dashboard!B5</x:f>
        <x:v>53825860</x:v>
      </x:c>
      <x:c r="C5" s="9" t="n">
        <x:v>0.31</x:v>
      </x:c>
      <x:c r="D5" s="8" t="n">
        <x:f>Dashboard!B6</x:f>
        <x:v>16433484</x:v>
      </x:c>
      <x:c r="E5" s="2" t="str">
        <x:v>No recomendado sin gates</x:v>
      </x:c>
      <x:c r="F5" s="2" t="str">
        <x:v>Liberación total</x:v>
      </x:c>
      <x:c r="G5" s="2" t="str">
        <x:v>Alto</x:v>
      </x:c>
      <x:c r="H5" s="2" t="str">
        <x:v>Máximo valor y máxima exposición</x:v>
      </x:c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15" hidden="0" customHeight="1">
      <x:c r="A6" s="2" t="str">
        <x:v>No Go</x:v>
      </x:c>
      <x:c r="B6" s="8" t="n">
        <x:v>0</x:v>
      </x:c>
      <x:c r="C6" s="9" t="n">
        <x:v>0</x:v>
      </x:c>
      <x:c r="D6" s="8" t="n">
        <x:v>0</x:v>
      </x:c>
      <x:c r="E6" s="2" t="str">
        <x:v>Rechazar</x:v>
      </x:c>
      <x:c r="F6" s="2" t="str">
        <x:v>No liberar demanda</x:v>
      </x:c>
      <x:c r="G6" s="2" t="str">
        <x:v>Bajo</x:v>
      </x:c>
      <x:c r="H6" s="2" t="str">
        <x:v>Evita exposición y pierde oportunidad</x:v>
      </x:c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15" hidden="0" customHeight="1">
      <x:c r="A7" s="2" t="str">
        <x:v>Go con condiciones</x:v>
      </x:c>
      <x:c r="B7" s="8" t="n">
        <x:f>Dashboard!B5*0.85</x:f>
        <x:v>45751981</x:v>
      </x:c>
      <x:c r="C7" s="9" t="n">
        <x:v>0.3</x:v>
      </x:c>
      <x:c r="D7" s="8" t="n">
        <x:f>B7*C7-160000</x:f>
        <x:v>13565594.299999999</x:v>
      </x:c>
      <x:c r="E7" s="2" t="str">
        <x:v>Recomendado</x:v>
      </x:c>
      <x:c r="F7" s="2" t="str">
        <x:v>Liberación por etapas</x:v>
      </x:c>
      <x:c r="G7" s="2" t="str">
        <x:v>Medio</x:v>
      </x:c>
      <x:c r="H7" s="2" t="str">
        <x:v>Liberar solo con evidencia</x:v>
      </x:c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15" hidden="0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15" hidden="0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15" hidden="0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15" hidden="0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15" hidden="0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15" hidden="0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15" hidden="0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15" hidden="0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15" hidden="0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15" hidden="0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15" hidden="0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15" hidden="0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15" hidden="0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15" hidden="0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15" hidden="0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15" hidden="0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15" hidden="0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15" hidden="0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15" hidden="0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15" hidden="0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15" hidden="0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15" hidden="0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15" hidden="0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15" hidden="0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15" hidden="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15" hidden="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15" hidden="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15" hidden="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15" hidden="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15" hidden="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15" hidden="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15" hidden="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15" hidden="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15" hidden="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15" hidden="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15" hidden="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15" hidden="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15" hidden="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15" hidden="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15" hidden="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15" hidden="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15" hidden="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15" hidden="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15" hidden="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15" hidden="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15" hidden="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15" hidden="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15" hidden="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15" hidden="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15" hidden="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15" hidden="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15" hidden="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15" hidden="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15" hidden="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15" hidden="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15" hidden="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15" hidden="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15" hidden="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15" hidden="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15" hidden="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15" hidden="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15" hidden="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15" hidden="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15" hidden="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15" hidden="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15" hidden="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15" hidden="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15" hidden="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15" hidden="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1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1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1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1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15" hidden="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15" hidden="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15" hidden="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15" hidden="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15" hidden="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15" hidden="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15" hidden="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15" hidden="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15" hidden="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15" hidden="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15" hidden="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15" hidden="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15" hidden="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15" hidden="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15" hidden="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15" hidden="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15" hidden="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15" hidden="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15" hidden="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15" hidden="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add095b309ee453c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7" hidden="0" customWidth="1"/>
    <x:col min="2" max="2" width="24" hidden="0" customWidth="1"/>
    <x:col min="3" max="3" width="95" hidden="0" customWidth="1"/>
    <x:col min="4" max="4" width="38" hidden="0" customWidth="1"/>
  </x:cols>
  <x:sheetData>
    <x:row r="1" ht="15" hidden="0" customHeight="1">
      <x:c r="A1" s="4" t="str">
        <x:v>NovaDrive Components, S.A. de C.V. | Prompts para ChatGPT</x:v>
      </x:c>
      <x:c r="B1" s="4"/>
      <x:c r="C1" s="4"/>
      <x:c r="D1" s="4"/>
    </x:row>
    <x:row r="2">
      <x:c r="A2" s="5" t="str">
        <x:v>Caso sintético para capacitación con ChatGPT gratuito | Corte: septiembre de 2026</x:v>
      </x:c>
      <x:c r="B2" s="5"/>
      <x:c r="C2" s="5"/>
      <x:c r="D2" s="5"/>
    </x:row>
    <x:row r="3" ht="15" hidden="0" customHeight="1">
      <x:c r="A3" s="2"/>
      <x:c r="B3" s="2"/>
      <x:c r="C3" s="2"/>
      <x:c r="D3" s="2"/>
    </x:row>
    <x:row r="4" ht="15" hidden="0" customHeight="1">
      <x:c r="A4" s="16" t="str">
        <x:v>N.º</x:v>
      </x:c>
      <x:c r="B4" s="16" t="str">
        <x:v>Ejercicio</x:v>
      </x:c>
      <x:c r="C4" s="16" t="str">
        <x:v>Prompt para copiar</x:v>
      </x:c>
      <x:c r="D4" s="16" t="str">
        <x:v>Resultado esperado</x:v>
      </x:c>
    </x:row>
    <x:row r="5" ht="15" hidden="0" customHeight="1">
      <x:c r="A5" s="2" t="n">
        <x:v>1</x:v>
      </x:c>
      <x:c r="B5" s="2" t="str">
        <x:v>Lectura financiera</x:v>
      </x:c>
      <x:c r="C5" s="2" t="str">
        <x:v>Analiza ingreso, margen, mitigación y beneficio neto. Señala la recomendación respaldada por números.</x:v>
      </x:c>
      <x:c r="D5" s="2" t="str">
        <x:v>Resumen financiero</x:v>
      </x:c>
    </x:row>
    <x:row r="6" ht="15" hidden="0" customHeight="1">
      <x:c r="A6" s="2" t="n">
        <x:v>2</x:v>
      </x:c>
      <x:c r="B6" s="2" t="str">
        <x:v>Escenarios</x:v>
      </x:c>
      <x:c r="C6" s="2" t="str">
        <x:v>Compara Go, No Go y Go con condiciones. Explica valor conservado y riesgo reducido.</x:v>
      </x:c>
      <x:c r="D6" s="2" t="str">
        <x:v>Comparación ejecutiva</x:v>
      </x:c>
    </x:row>
    <x:row r="7" ht="15" hidden="0" customHeight="1">
      <x:c r="A7" s="2" t="n">
        <x:v>3</x:v>
      </x:c>
      <x:c r="B7" s="2" t="str">
        <x:v>Sensibilidad</x:v>
      </x:c>
      <x:c r="C7" s="2" t="str">
        <x:v>Propón tres sensibilidades útiles y explica qué decisión afectarían. No inventes resultados.</x:v>
      </x:c>
      <x:c r="D7" s="2" t="str">
        <x:v>Plan de análisis</x:v>
      </x:c>
    </x:row>
    <x:row r="8" ht="15" hidden="0" customHeight="1">
      <x:c r="A8" s="2" t="n">
        <x:v>4</x:v>
      </x:c>
      <x:c r="B8" s="2" t="str">
        <x:v>Crítica</x:v>
      </x:c>
      <x:c r="C8" s="2" t="str">
        <x:v>Identifica supuestos que Finanzas debe validar antes de aprobar.</x:v>
      </x:c>
      <x:c r="D8" s="2" t="str">
        <x:v>Lista de validaciones</x:v>
      </x:c>
    </x:row>
    <x:row r="9" ht="15" hidden="0" customHeight="1">
      <x:c r="A9" s="2"/>
      <x:c r="B9" s="2"/>
      <x:c r="C9" s="2"/>
      <x:c r="D9" s="2"/>
    </x:row>
    <x:row r="10" ht="15" hidden="0" customHeight="1">
      <x:c r="A10" s="2"/>
      <x:c r="B10" s="2"/>
      <x:c r="C10" s="2"/>
      <x:c r="D10" s="2"/>
    </x:row>
    <x:row r="11" ht="15" hidden="0" customHeight="1">
      <x:c r="A11" s="2"/>
      <x:c r="B11" s="2"/>
      <x:c r="C11" s="2"/>
      <x:c r="D11" s="2"/>
    </x:row>
    <x:row r="12" ht="15" hidden="0" customHeight="1">
      <x:c r="A12" s="2"/>
      <x:c r="B12" s="2"/>
      <x:c r="C12" s="2"/>
      <x:c r="D12" s="2"/>
    </x:row>
    <x:row r="13" ht="15" hidden="0" customHeight="1">
      <x:c r="A13" s="2"/>
      <x:c r="B13" s="2"/>
      <x:c r="C13" s="2"/>
      <x:c r="D13" s="2"/>
    </x:row>
    <x:row r="14" ht="15" hidden="0" customHeight="1">
      <x:c r="A14" s="2"/>
      <x:c r="B14" s="2"/>
      <x:c r="C14" s="2"/>
      <x:c r="D14" s="2"/>
    </x:row>
    <x:row r="15" ht="15" hidden="0" customHeight="1">
      <x:c r="A15" s="2"/>
      <x:c r="B15" s="2"/>
      <x:c r="C15" s="2"/>
      <x:c r="D15" s="2"/>
    </x:row>
    <x:row r="16" ht="15" hidden="0" customHeight="1">
      <x:c r="A16" s="2"/>
      <x:c r="B16" s="2"/>
      <x:c r="C16" s="2"/>
      <x:c r="D16" s="2"/>
    </x:row>
    <x:row r="17" ht="15" hidden="0" customHeight="1">
      <x:c r="A17" s="2"/>
      <x:c r="B17" s="2"/>
      <x:c r="C17" s="2"/>
      <x:c r="D17" s="2"/>
    </x:row>
    <x:row r="18" ht="15" hidden="0" customHeight="1">
      <x:c r="A18" s="2"/>
      <x:c r="B18" s="2"/>
      <x:c r="C18" s="2"/>
      <x:c r="D18" s="2"/>
    </x:row>
    <x:row r="19" ht="15" hidden="0" customHeight="1">
      <x:c r="A19" s="2"/>
      <x:c r="B19" s="2"/>
      <x:c r="C19" s="2"/>
      <x:c r="D19" s="2"/>
    </x:row>
    <x:row r="20" ht="15" hidden="0" customHeight="1">
      <x:c r="A20" s="2"/>
      <x:c r="B20" s="2"/>
      <x:c r="C20" s="2"/>
      <x:c r="D20" s="2"/>
    </x:row>
  </x:sheetData>
  <x:mergeCells>
    <x:mergeCell ref="A1:D1"/>
    <x:mergeCell ref="A1:D2"/>
  </x:mergeCells>
  <x:pageMargins left="0.7" right="0.7" top="0.75" bottom="0.75" header="0.3" footer="0.3"/>
  <x:tableParts count="1">
    <x:tablePart xmlns:r="http://schemas.openxmlformats.org/officeDocument/2006/relationships" r:id="R376f4bbf4fb54419"/>
  </x:tableParts>
</x:worksheet>
</file>