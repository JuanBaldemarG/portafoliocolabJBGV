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6df0dfd52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90ec58b0a04dc3"/>
    <x:sheet xmlns:r="http://schemas.openxmlformats.org/officeDocument/2006/relationships" name="Detalle_Capacidad" sheetId="2" r:id="R3c58389b209b483a"/>
    <x:sheet xmlns:r="http://schemas.openxmlformats.org/officeDocument/2006/relationships" name="Mantenimiento" sheetId="3" r:id="Rbcd43e67b7f7444b"/>
    <x:sheet xmlns:r="http://schemas.openxmlformats.org/officeDocument/2006/relationships" name="Prompts_ChatGPT" sheetId="4" r:id="Rd99a265f3afe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174A5E"/>
      <x:name val="Arial"/>
    </x:font>
    <x:font>
      <x:b/>
      <x:i/>
      <x:sz val="10"/>
      <x:color rgb="FF666666"/>
      <x:name val="Arial"/>
    </x:font>
    <x:font>
      <x:i/>
      <x:sz val="10"/>
      <x:color rgb="FF666666"/>
      <x:name val="Arial"/>
    </x:font>
    <x:font>
      <x:b/>
      <x:sz val="11"/>
      <x:color rgb="FF174A5E"/>
      <x:name val="Arial"/>
    </x:font>
    <x:font>
      <x:b/>
      <x:sz val="10"/>
      <x:color rgb="FFFFFFFF"/>
      <x:name val="Arial"/>
    </x:font>
    <x:font>
      <x:b/>
      <x:sz val="10"/>
      <x:color rgb="FF174A5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0"/>
      </x:patternFill>
    </x:fill>
    <x:fill>
      <x:patternFill patternType="solid">
        <x:fgColor rgb="FFDCEAF2"/>
      </x:patternFill>
    </x:fill>
    <x:fill>
      <x:patternFill patternType="solid">
        <x:fgColor rgb="FF174A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f8e749ac647ca" /><Relationship Type="http://schemas.openxmlformats.org/officeDocument/2006/relationships/theme" Target="/xl/theme/theme1.xml" Id="R4c3d8ffd16904392" /><Relationship Type="http://schemas.openxmlformats.org/officeDocument/2006/relationships/sharedStrings" Target="/xl/sharedStrings.xml" Id="Rb4a75863fe9743bd" /><Relationship Type="http://schemas.openxmlformats.org/officeDocument/2006/relationships/worksheet" Target="/xl/worksheets/sheet1.xml" Id="R5790ec58b0a04dc3" /><Relationship Type="http://schemas.openxmlformats.org/officeDocument/2006/relationships/worksheet" Target="/xl/worksheets/sheet2.xml" Id="R3c58389b209b483a" /><Relationship Type="http://schemas.openxmlformats.org/officeDocument/2006/relationships/worksheet" Target="/xl/worksheets/sheet3.xml" Id="Rbcd43e67b7f7444b" /><Relationship Type="http://schemas.openxmlformats.org/officeDocument/2006/relationships/worksheet" Target="/xl/worksheets/sheet4.xml" Id="Rd99a265f3afe47a9" /></Relationships>
</file>

<file path=xl/tables/table1.xml><?xml version="1.0" encoding="utf-8"?>
<x:table xmlns:x="http://schemas.openxmlformats.org/spreadsheetml/2006/main" id="1" name="ProcessTable" displayName="ProcessTable" ref="D5:G11" headerRowCount="1" totalsRowCount="0" totalsRowShown="0">
  <x:tableColumns count="4">
    <x:tableColumn id="1" name="Proceso"/>
    <x:tableColumn id="2" name="Horas disponibles"/>
    <x:tableColumn id="3" name="Horas requeridas"/>
    <x:tableColumn id="4" name="Sal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Top" displayName="CapacityTop" ref="A15:H20" headerRowCount="1" totalsRowCount="0" totalsRowShown="0">
  <x:tableColumns count="8">
    <x:tableColumn id="1" name="Línea"/>
    <x:tableColumn id="2" name="Proceso"/>
    <x:tableColumn id="3" name="Horas disponibles"/>
    <x:tableColumn id="4" name="Horas requeridas"/>
    <x:tableColumn id="5" name="Saldo"/>
    <x:tableColumn id="6" name="Utilización"/>
    <x:tableColumn id="7" name="Estado"/>
    <x:tableColumn id="8" name="A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Detail" displayName="CapacityDetail" ref="A4:K16" headerRowCount="1" totalsRowCount="0" totalsRowShown="0">
  <x:tableColumns count="11">
    <x:tableColumn id="1" name="Línea"/>
    <x:tableColumn id="2" name="Proceso"/>
    <x:tableColumn id="3" name="Programa principal"/>
    <x:tableColumn id="4" name="Horas base"/>
    <x:tableColumn id="5" name="Horas crecimiento"/>
    <x:tableColumn id="6" name="Horas requeridas"/>
    <x:tableColumn id="7" name="Capacidad disponible"/>
    <x:tableColumn id="8" name="Estado"/>
    <x:tableColumn id="9" name="Utilización"/>
    <x:tableColumn id="10" name="Saldo"/>
    <x:tableColumn id="11" name="Ac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intenance" displayName="Maintenance" ref="A3:F9" headerRowCount="1" totalsRowCount="0" totalsRowShown="0">
  <x:tableColumns count="6">
    <x:tableColumn id="1" name="Línea"/>
    <x:tableColumn id="2" name="Mes"/>
    <x:tableColumn id="3" name="Horas"/>
    <x:tableColumn id="4" name="Tipo"/>
    <x:tableColumn id="5" name="Riesgo"/>
    <x:tableColumn id="6" name="Tratami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mptTable" displayName="PromptTable" ref="A4:D8" headerRowCount="1" totalsRowCount="0" totalsRowShown="0">
  <x:tableColumns count="4">
    <x:tableColumn id="1" name="N.º"/>
    <x:tableColumn id="2" name="Ejercicio"/>
    <x:tableColumn id="3" name="Prompt para copiar"/>
    <x:tableColumn id="4" name="Resultado es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19c84dad6c4edf" /><Relationship Type="http://schemas.openxmlformats.org/officeDocument/2006/relationships/table" Target="/xl/tables/table2.xml" Id="Rd54138b6c63147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0aeffd1d4a8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899a02f0e55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b71162948724d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4" max="4" width="22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</x:cols>
  <x:sheetData>
    <x:row r="1" ht="15" hidden="0" customHeight="1">
      <x:c r="A1" s="4" t="str">
        <x:v>NovaDrive Components, S.A. de C.V. | Capacidad de producción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Caso sintético para capacitación con ChatGPT gratuito | Corte: septiembre de 2026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7" t="str">
        <x:v>Indicadores clave</x:v>
      </x:c>
      <x:c r="B4" s="7"/>
      <x:c r="C4" s="2"/>
      <x:c r="D4" s="7" t="str">
        <x:v>Capacidad por proceso</x:v>
      </x:c>
      <x:c r="E4" s="7"/>
      <x:c r="F4" s="7"/>
      <x:c r="G4" s="7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Horas disponibles con turnos extra</x:v>
      </x:c>
      <x:c r="B5" s="10" t="n">
        <x:f>SUM(Detalle_Capacidad!G5:G16)</x:f>
        <x:v>4670</x:v>
      </x:c>
      <x:c r="C5" s="2"/>
      <x:c r="D5" s="16" t="str">
        <x:v>Proceso</x:v>
      </x:c>
      <x:c r="E5" s="16" t="str">
        <x:v>Horas disponibles</x:v>
      </x:c>
      <x:c r="F5" s="16" t="str">
        <x:v>Horas requeridas</x:v>
      </x:c>
      <x:c r="G5" s="16" t="str">
        <x:v>Saldo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Horas requeridas</x:v>
      </x:c>
      <x:c r="B6" s="10" t="n">
        <x:f>SUM(Detalle_Capacidad!F5:F16)</x:f>
        <x:v>4975</x:v>
      </x:c>
      <x:c r="C6" s="2"/>
      <x:c r="D6" s="2" t="str">
        <x:v>Estampado</x:v>
      </x:c>
      <x:c r="E6" s="2" t="n">
        <x:f>SUMIF(Detalle_Capacidad!B$5:B$16,D6,Detalle_Capacidad!G$5:G$16)</x:f>
        <x:v>900</x:v>
      </x:c>
      <x:c r="F6" s="2" t="n">
        <x:f>SUMIF(Detalle_Capacidad!B$5:B$16,D6,Detalle_Capacidad!F$5:F$16)</x:f>
        <x:v>985</x:v>
      </x:c>
      <x:c r="G6" s="2" t="n">
        <x:f>E6-F6</x:f>
        <x:v>-85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Saldo de horas</x:v>
      </x:c>
      <x:c r="B7" s="10" t="n">
        <x:f>B5-B6</x:f>
        <x:v>-305</x:v>
      </x:c>
      <x:c r="C7" s="2"/>
      <x:c r="D7" s="2" t="str">
        <x:v>Inyección plástica</x:v>
      </x:c>
      <x:c r="E7" s="2" t="n">
        <x:f>SUMIF(Detalle_Capacidad!B$5:B$16,D7,Detalle_Capacidad!G$5:G$16)</x:f>
        <x:v>800</x:v>
      </x:c>
      <x:c r="F7" s="2" t="n">
        <x:f>SUMIF(Detalle_Capacidad!B$5:B$16,D7,Detalle_Capacidad!F$5:F$16)</x:f>
        <x:v>845</x:v>
      </x:c>
      <x:c r="G7" s="2" t="n">
        <x:f>E7-F7</x:f>
        <x:v>-45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Líneas críticas</x:v>
      </x:c>
      <x:c r="B8" s="10" t="n">
        <x:f>COUNTIF(Detalle_Capacidad!H5:H16,"Crítica")</x:f>
        <x:v>10</x:v>
      </x:c>
      <x:c r="C8" s="2"/>
      <x:c r="D8" s="2" t="str">
        <x:v>Soldadura</x:v>
      </x:c>
      <x:c r="E8" s="2" t="n">
        <x:f>SUMIF(Detalle_Capacidad!B$5:B$16,D8,Detalle_Capacidad!G$5:G$16)</x:f>
        <x:v>700</x:v>
      </x:c>
      <x:c r="F8" s="2" t="n">
        <x:f>SUMIF(Detalle_Capacidad!B$5:B$16,D8,Detalle_Capacidad!F$5:F$16)</x:f>
        <x:v>740</x:v>
      </x:c>
      <x:c r="G8" s="2" t="n">
        <x:f>E8-F8</x:f>
        <x:v>-40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Utilización promedio</x:v>
      </x:c>
      <x:c r="B9" s="11" t="n">
        <x:f>AVERAGE(Detalle_Capacidad!I5:I16)</x:f>
        <x:v>1.0626659376604712</x:v>
      </x:c>
      <x:c r="C9" s="2"/>
      <x:c r="D9" s="2" t="str">
        <x:v>Ensamble eléctrico</x:v>
      </x:c>
      <x:c r="E9" s="2" t="n">
        <x:f>SUMIF(Detalle_Capacidad!B$5:B$16,D9,Detalle_Capacidad!G$5:G$16)</x:f>
        <x:v>930</x:v>
      </x:c>
      <x:c r="F9" s="2" t="n">
        <x:f>SUMIF(Detalle_Capacidad!B$5:B$16,D9,Detalle_Capacidad!F$5:F$16)</x:f>
        <x:v>1005</x:v>
      </x:c>
      <x:c r="G9" s="2" t="n">
        <x:f>E9-F9</x:f>
        <x:v>-75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Estado operativo</x:v>
      </x:c>
      <x:c r="B10" s="12" t="str">
        <x:f>IF(B8&gt;0,"No listo",IF(B9&gt;0.9,"Condicionado","Disponible"))</x:f>
        <x:v>No listo</x:v>
      </x:c>
      <x:c r="C10" s="2"/>
      <x:c r="D10" s="2" t="str">
        <x:v>Pintura</x:v>
      </x:c>
      <x:c r="E10" s="2" t="n">
        <x:f>SUMIF(Detalle_Capacidad!B$5:B$16,D10,Detalle_Capacidad!G$5:G$16)</x:f>
        <x:v>710</x:v>
      </x:c>
      <x:c r="F10" s="2" t="n">
        <x:f>SUMIF(Detalle_Capacidad!B$5:B$16,D10,Detalle_Capacidad!F$5:F$16)</x:f>
        <x:v>745</x:v>
      </x:c>
      <x:c r="G10" s="2" t="n">
        <x:f>E10-F10</x:f>
        <x:v>-35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 t="str">
        <x:v>Tratamiento térmico</x:v>
      </x:c>
      <x:c r="E11" s="2" t="n">
        <x:f>SUMIF(Detalle_Capacidad!B$5:B$16,D11,Detalle_Capacidad!G$5:G$16)</x:f>
        <x:v>630</x:v>
      </x:c>
      <x:c r="F11" s="2" t="n">
        <x:f>SUMIF(Detalle_Capacidad!B$5:B$16,D11,Detalle_Capacidad!F$5:F$16)</x:f>
        <x:v>655</x:v>
      </x:c>
      <x:c r="G11" s="2" t="n">
        <x:f>E11-F11</x:f>
        <x:v>-25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7" t="str">
        <x:v>Líneas con mayor presión</x:v>
      </x:c>
      <x:c r="B14" s="7"/>
      <x:c r="C14" s="7"/>
      <x:c r="D14" s="7"/>
      <x:c r="E14" s="7"/>
      <x:c r="F14" s="7"/>
      <x:c r="G14" s="7"/>
      <x:c r="H14" s="7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6" hidden="0" customHeight="1">
      <x:c r="A15" s="16" t="str">
        <x:v>Línea</x:v>
      </x:c>
      <x:c r="B15" s="16" t="str">
        <x:v>Proceso</x:v>
      </x:c>
      <x:c r="C15" s="16" t="str">
        <x:v>Horas disponibles</x:v>
      </x:c>
      <x:c r="D15" s="16" t="str">
        <x:v>Horas requeridas</x:v>
      </x:c>
      <x:c r="E15" s="16" t="str">
        <x:v>Saldo</x:v>
      </x:c>
      <x:c r="F15" s="16" t="str">
        <x:v>Utilización</x:v>
      </x:c>
      <x:c r="G15" s="16" t="str">
        <x:v>Estado</x:v>
      </x:c>
      <x:c r="H15" s="16" t="str">
        <x:v>Acción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f>Detalle_Capacidad!A5</x:f>
        <x:v>Prensa P1</x:v>
      </x:c>
      <x:c r="B16" s="2" t="str">
        <x:f>Detalle_Capacidad!B5</x:f>
        <x:v>Estampado</x:v>
      </x:c>
      <x:c r="C16" s="2" t="n">
        <x:f>Detalle_Capacidad!G5</x:f>
        <x:v>470</x:v>
      </x:c>
      <x:c r="D16" s="2" t="n">
        <x:f>Detalle_Capacidad!F5</x:f>
        <x:v>505</x:v>
      </x:c>
      <x:c r="E16" s="2" t="n">
        <x:f>Detalle_Capacidad!J5</x:f>
        <x:v>-35</x:v>
      </x:c>
      <x:c r="F16" s="9" t="n">
        <x:f>Detalle_Capacidad!I5</x:f>
        <x:v>1.074468085106383</x:v>
      </x:c>
      <x:c r="G16" s="2" t="str">
        <x:f>Detalle_Capacidad!H5</x:f>
        <x:v>Crítica</x:v>
      </x:c>
      <x:c r="H16" s="2" t="str">
        <x:f>Detalle_Capacidad!K5</x:f>
        <x:v>Reprogramar mezcla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f>Detalle_Capacidad!A6</x:f>
        <x:v>Prensa P2</x:v>
      </x:c>
      <x:c r="B17" s="2" t="str">
        <x:f>Detalle_Capacidad!B6</x:f>
        <x:v>Estampado</x:v>
      </x:c>
      <x:c r="C17" s="2" t="n">
        <x:f>Detalle_Capacidad!G6</x:f>
        <x:v>430</x:v>
      </x:c>
      <x:c r="D17" s="2" t="n">
        <x:f>Detalle_Capacidad!F6</x:f>
        <x:v>480</x:v>
      </x:c>
      <x:c r="E17" s="2" t="n">
        <x:f>Detalle_Capacidad!J6</x:f>
        <x:v>-50</x:v>
      </x:c>
      <x:c r="F17" s="9" t="n">
        <x:f>Detalle_Capacidad!I6</x:f>
        <x:v>1.1162790697674418</x:v>
      </x:c>
      <x:c r="G17" s="2" t="str">
        <x:f>Detalle_Capacidad!H6</x:f>
        <x:v>Crítica</x:v>
      </x:c>
      <x:c r="H17" s="2" t="str">
        <x:f>Detalle_Capacidad!K6</x:f>
        <x:v>Autorizar turno extra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f>Detalle_Capacidad!A7</x:f>
        <x:v>Inyectora I1</x:v>
      </x:c>
      <x:c r="B18" s="2" t="str">
        <x:f>Detalle_Capacidad!B7</x:f>
        <x:v>Inyección plástica</x:v>
      </x:c>
      <x:c r="C18" s="2" t="n">
        <x:f>Detalle_Capacidad!G7</x:f>
        <x:v>420</x:v>
      </x:c>
      <x:c r="D18" s="2" t="n">
        <x:f>Detalle_Capacidad!F7</x:f>
        <x:v>450</x:v>
      </x:c>
      <x:c r="E18" s="2" t="n">
        <x:f>Detalle_Capacidad!J7</x:f>
        <x:v>-30</x:v>
      </x:c>
      <x:c r="F18" s="9" t="n">
        <x:f>Detalle_Capacidad!I7</x:f>
        <x:v>1.0714285714285714</x:v>
      </x:c>
      <x:c r="G18" s="2" t="str">
        <x:f>Detalle_Capacidad!H7</x:f>
        <x:v>Crítica</x:v>
      </x:c>
      <x:c r="H18" s="2" t="str">
        <x:f>Detalle_Capacidad!K7</x:f>
        <x:v>Proteger molde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f>Detalle_Capacidad!A8</x:f>
        <x:v>Inyectora I2</x:v>
      </x:c>
      <x:c r="B19" s="2" t="str">
        <x:f>Detalle_Capacidad!B8</x:f>
        <x:v>Inyección plástica</x:v>
      </x:c>
      <x:c r="C19" s="2" t="n">
        <x:f>Detalle_Capacidad!G8</x:f>
        <x:v>380</x:v>
      </x:c>
      <x:c r="D19" s="2" t="n">
        <x:f>Detalle_Capacidad!F8</x:f>
        <x:v>395</x:v>
      </x:c>
      <x:c r="E19" s="2" t="n">
        <x:f>Detalle_Capacidad!J8</x:f>
        <x:v>-15</x:v>
      </x:c>
      <x:c r="F19" s="9" t="n">
        <x:f>Detalle_Capacidad!I8</x:f>
        <x:v>1.0394736842105263</x:v>
      </x:c>
      <x:c r="G19" s="2" t="str">
        <x:f>Detalle_Capacidad!H8</x:f>
        <x:v>Crítica</x:v>
      </x:c>
      <x:c r="H19" s="2" t="str">
        <x:f>Detalle_Capacidad!K8</x:f>
        <x:v>Secuenciar pedidos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f>Detalle_Capacidad!A9</x:f>
        <x:v>Soldadora S1</x:v>
      </x:c>
      <x:c r="B20" s="2" t="str">
        <x:f>Detalle_Capacidad!B9</x:f>
        <x:v>Soldadura</x:v>
      </x:c>
      <x:c r="C20" s="2" t="n">
        <x:f>Detalle_Capacidad!G9</x:f>
        <x:v>350</x:v>
      </x:c>
      <x:c r="D20" s="2" t="n">
        <x:f>Detalle_Capacidad!F9</x:f>
        <x:v>400</x:v>
      </x:c>
      <x:c r="E20" s="2" t="n">
        <x:f>Detalle_Capacidad!J9</x:f>
        <x:v>-50</x:v>
      </x:c>
      <x:c r="F20" s="9" t="n">
        <x:f>Detalle_Capacidad!I9</x:f>
        <x:v>1.1428571428571428</x:v>
      </x:c>
      <x:c r="G20" s="2" t="str">
        <x:f>Detalle_Capacidad!H9</x:f>
        <x:v>Crítica</x:v>
      </x:c>
      <x:c r="H20" s="2" t="str">
        <x:f>Detalle_Capacidad!K9</x:f>
        <x:v>Validar herramental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hidden="0" customHeight="1">
      <x:c r="A24" s="17" t="str">
        <x:v>Nota</x:v>
      </x:c>
      <x:c r="B24" s="18" t="str">
        <x:v>Horas requeridas incluyen crecimiento solicitado.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8" hidden="0" customHeight="1">
      <x:c r="A25" s="17" t="str">
        <x:v>Advertencia</x:v>
      </x:c>
      <x:c r="B25" s="18" t="str">
        <x:v>El saldo agregado puede ocultar cuellos de botella especializados.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hidden="0" customHeight="1">
      <x:c r="A26" s="17" t="str">
        <x:v>Uso</x:v>
      </x:c>
      <x:c r="B26" s="18" t="str">
        <x:v>Pida primero el diagnóstico y después la secuencia por línea.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6" hidden="0" customHeight="1">
      <x:c r="A27" s="17" t="str">
        <x:v>Siguiente paso</x:v>
      </x:c>
      <x:c r="B27" s="18" t="str">
        <x:v>Cruzar líneas críticas con inventario y mantenimiento.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J1"/>
    <x:mergeCell ref="A1:J2"/>
    <x:mergeCell ref="A4:B4"/>
    <x:mergeCell ref="D4:G4"/>
    <x:mergeCell ref="A14:H14"/>
  </x:mergeCells>
  <x:pageMargins left="0.7" right="0.7" top="0.75" bottom="0.75" header="0.3" footer="0.3"/>
  <x:tableParts count="2">
    <x:tablePart xmlns:r="http://schemas.openxmlformats.org/officeDocument/2006/relationships" r:id="R6c19c84dad6c4edf"/>
    <x:tablePart xmlns:r="http://schemas.openxmlformats.org/officeDocument/2006/relationships" r:id="Rd54138b6c63147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3" hidden="0" customWidth="1"/>
    <x:col min="5" max="5" width="17" hidden="0" customWidth="1"/>
    <x:col min="6" max="6" width="16" hidden="0" customWidth="1"/>
    <x:col min="7" max="7" width="18" hidden="0" customWidth="1"/>
    <x:col min="8" max="8" width="14" hidden="0" customWidth="1"/>
    <x:col min="9" max="9" width="13" hidden="0" customWidth="1"/>
    <x:col min="10" max="10" width="12" hidden="0" customWidth="1"/>
    <x:col min="11" max="11" width="23" hidden="0" customWidth="1"/>
  </x:cols>
  <x:sheetData>
    <x:row r="1" ht="15" hidden="0" customHeight="1">
      <x:c r="A1" s="2" t="str">
        <x:v>NovaDrive Components, S.A. de C.V. | Capacidad por línea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16" t="str">
        <x:v>Línea</x:v>
      </x:c>
      <x:c r="B4" s="16" t="str">
        <x:v>Proceso</x:v>
      </x:c>
      <x:c r="C4" s="16" t="str">
        <x:v>Programa principal</x:v>
      </x:c>
      <x:c r="D4" s="16" t="str">
        <x:v>Horas base</x:v>
      </x:c>
      <x:c r="E4" s="16" t="str">
        <x:v>Horas crecimiento</x:v>
      </x:c>
      <x:c r="F4" s="16" t="str">
        <x:v>Horas requeridas</x:v>
      </x:c>
      <x:c r="G4" s="16" t="str">
        <x:v>Capacidad disponible</x:v>
      </x:c>
      <x:c r="H4" s="16" t="str">
        <x:v>Estado</x:v>
      </x:c>
      <x:c r="I4" s="16" t="str">
        <x:v>Utilización</x:v>
      </x:c>
      <x:c r="J4" s="16" t="str">
        <x:v>Saldo</x:v>
      </x:c>
      <x:c r="K4" s="16" t="str">
        <x:v>Acción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Prensa P1</x:v>
      </x:c>
      <x:c r="B5" s="2" t="str">
        <x:v>Estampado</x:v>
      </x:c>
      <x:c r="C5" s="2" t="str">
        <x:v>SUV híbrida</x:v>
      </x:c>
      <x:c r="D5" s="2" t="n">
        <x:v>410</x:v>
      </x:c>
      <x:c r="E5" s="2" t="n">
        <x:v>95</x:v>
      </x:c>
      <x:c r="F5" s="2" t="n">
        <x:f>D5+E5</x:f>
        <x:v>505</x:v>
      </x:c>
      <x:c r="G5" s="2" t="n">
        <x:v>470</x:v>
      </x:c>
      <x:c r="H5" s="2" t="str">
        <x:f>IF(J5&lt;0,"Crítica",IF(I5&gt;0.9,"Alta","Normal"))</x:f>
        <x:v>Crítica</x:v>
      </x:c>
      <x:c r="I5" s="9" t="n">
        <x:f>F5/G5</x:f>
        <x:v>1.074468085106383</x:v>
      </x:c>
      <x:c r="J5" s="2" t="n">
        <x:f>G5-F5</x:f>
        <x:v>-35</x:v>
      </x:c>
      <x:c r="K5" s="2" t="str">
        <x:v>Reprogramar mezcla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Prensa P2</x:v>
      </x:c>
      <x:c r="B6" s="2" t="str">
        <x:v>Estampado</x:v>
      </x:c>
      <x:c r="C6" s="2" t="str">
        <x:v>Vehículo comercial</x:v>
      </x:c>
      <x:c r="D6" s="2" t="n">
        <x:v>360</x:v>
      </x:c>
      <x:c r="E6" s="2" t="n">
        <x:v>120</x:v>
      </x:c>
      <x:c r="F6" s="2" t="n">
        <x:f>D6+E6</x:f>
        <x:v>480</x:v>
      </x:c>
      <x:c r="G6" s="2" t="n">
        <x:v>430</x:v>
      </x:c>
      <x:c r="H6" s="2" t="str">
        <x:f>IF(J6&lt;0,"Crítica",IF(I6&gt;0.9,"Alta","Normal"))</x:f>
        <x:v>Crítica</x:v>
      </x:c>
      <x:c r="I6" s="9" t="n">
        <x:f>F6/G6</x:f>
        <x:v>1.1162790697674418</x:v>
      </x:c>
      <x:c r="J6" s="2" t="n">
        <x:f>G6-F6</x:f>
        <x:v>-50</x:v>
      </x:c>
      <x:c r="K6" s="2" t="str">
        <x:v>Autorizar turno extra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Inyectora I1</x:v>
      </x:c>
      <x:c r="B7" s="2" t="str">
        <x:v>Inyección plástica</x:v>
      </x:c>
      <x:c r="C7" s="2" t="str">
        <x:v>Sedán compacto</x:v>
      </x:c>
      <x:c r="D7" s="2" t="n">
        <x:v>340</x:v>
      </x:c>
      <x:c r="E7" s="2" t="n">
        <x:v>110</x:v>
      </x:c>
      <x:c r="F7" s="2" t="n">
        <x:f>D7+E7</x:f>
        <x:v>450</x:v>
      </x:c>
      <x:c r="G7" s="2" t="n">
        <x:v>420</x:v>
      </x:c>
      <x:c r="H7" s="2" t="str">
        <x:f>IF(J7&lt;0,"Crítica",IF(I7&gt;0.9,"Alta","Normal"))</x:f>
        <x:v>Crítica</x:v>
      </x:c>
      <x:c r="I7" s="9" t="n">
        <x:f>F7/G7</x:f>
        <x:v>1.0714285714285714</x:v>
      </x:c>
      <x:c r="J7" s="2" t="n">
        <x:f>G7-F7</x:f>
        <x:v>-30</x:v>
      </x:c>
      <x:c r="K7" s="2" t="str">
        <x:v>Proteger molde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Inyectora I2</x:v>
      </x:c>
      <x:c r="B8" s="2" t="str">
        <x:v>Inyección plástica</x:v>
      </x:c>
      <x:c r="C8" s="2" t="str">
        <x:v>Programa VE</x:v>
      </x:c>
      <x:c r="D8" s="2" t="n">
        <x:v>300</x:v>
      </x:c>
      <x:c r="E8" s="2" t="n">
        <x:v>95</x:v>
      </x:c>
      <x:c r="F8" s="2" t="n">
        <x:f>D8+E8</x:f>
        <x:v>395</x:v>
      </x:c>
      <x:c r="G8" s="2" t="n">
        <x:v>380</x:v>
      </x:c>
      <x:c r="H8" s="2" t="str">
        <x:f>IF(J8&lt;0,"Crítica",IF(I8&gt;0.9,"Alta","Normal"))</x:f>
        <x:v>Crítica</x:v>
      </x:c>
      <x:c r="I8" s="9" t="n">
        <x:f>F8/G8</x:f>
        <x:v>1.0394736842105263</x:v>
      </x:c>
      <x:c r="J8" s="2" t="n">
        <x:f>G8-F8</x:f>
        <x:v>-15</x:v>
      </x:c>
      <x:c r="K8" s="2" t="str">
        <x:v>Secuenciar pedidos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Soldadora S1</x:v>
      </x:c>
      <x:c r="B9" s="2" t="str">
        <x:v>Soldadura</x:v>
      </x:c>
      <x:c r="C9" s="2" t="str">
        <x:v>Soporte batería</x:v>
      </x:c>
      <x:c r="D9" s="2" t="n">
        <x:v>280</x:v>
      </x:c>
      <x:c r="E9" s="2" t="n">
        <x:v>120</x:v>
      </x:c>
      <x:c r="F9" s="2" t="n">
        <x:f>D9+E9</x:f>
        <x:v>400</x:v>
      </x:c>
      <x:c r="G9" s="2" t="n">
        <x:v>350</x:v>
      </x:c>
      <x:c r="H9" s="2" t="str">
        <x:f>IF(J9&lt;0,"Crítica",IF(I9&gt;0.9,"Alta","Normal"))</x:f>
        <x:v>Crítica</x:v>
      </x:c>
      <x:c r="I9" s="9" t="n">
        <x:f>F9/G9</x:f>
        <x:v>1.1428571428571428</x:v>
      </x:c>
      <x:c r="J9" s="2" t="n">
        <x:f>G9-F9</x:f>
        <x:v>-50</x:v>
      </x:c>
      <x:c r="K9" s="2" t="str">
        <x:v>Validar herramental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Soldadora S2</x:v>
      </x:c>
      <x:c r="B10" s="2" t="str">
        <x:v>Soldadura</x:v>
      </x:c>
      <x:c r="C10" s="2" t="str">
        <x:v>Chasis</x:v>
      </x:c>
      <x:c r="D10" s="2" t="n">
        <x:v>260</x:v>
      </x:c>
      <x:c r="E10" s="2" t="n">
        <x:v>80</x:v>
      </x:c>
      <x:c r="F10" s="2" t="n">
        <x:f>D10+E10</x:f>
        <x:v>340</x:v>
      </x:c>
      <x:c r="G10" s="2" t="n">
        <x:v>350</x:v>
      </x:c>
      <x:c r="H10" s="2" t="str">
        <x:f>IF(J10&lt;0,"Crítica",IF(I10&gt;0.9,"Alta","Normal"))</x:f>
        <x:v>Alta</x:v>
      </x:c>
      <x:c r="I10" s="9" t="n">
        <x:f>F10/G10</x:f>
        <x:v>0.9714285714285714</x:v>
      </x:c>
      <x:c r="J10" s="2" t="n">
        <x:f>G10-F10</x:f>
        <x:v>10</x:v>
      </x:c>
      <x:c r="K10" s="2" t="str">
        <x:v>Sin acción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Ensamble E1</x:v>
      </x:c>
      <x:c r="B11" s="2" t="str">
        <x:v>Ensamble eléctrico</x:v>
      </x:c>
      <x:c r="C11" s="2" t="str">
        <x:v>Arneses HV</x:v>
      </x:c>
      <x:c r="D11" s="2" t="n">
        <x:v>390</x:v>
      </x:c>
      <x:c r="E11" s="2" t="n">
        <x:v>150</x:v>
      </x:c>
      <x:c r="F11" s="2" t="n">
        <x:f>D11+E11</x:f>
        <x:v>540</x:v>
      </x:c>
      <x:c r="G11" s="2" t="n">
        <x:v>500</x:v>
      </x:c>
      <x:c r="H11" s="2" t="str">
        <x:f>IF(J11&lt;0,"Crítica",IF(I11&gt;0.9,"Alta","Normal"))</x:f>
        <x:v>Crítica</x:v>
      </x:c>
      <x:c r="I11" s="9" t="n">
        <x:f>F11/G11</x:f>
        <x:v>1.08</x:v>
      </x:c>
      <x:c r="J11" s="2" t="n">
        <x:f>G11-F11</x:f>
        <x:v>-40</x:v>
      </x:c>
      <x:c r="K11" s="2" t="str">
        <x:v>Agregar operador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Ensamble E2</x:v>
      </x:c>
      <x:c r="B12" s="2" t="str">
        <x:v>Ensamble eléctrico</x:v>
      </x:c>
      <x:c r="C12" s="2" t="str">
        <x:v>Arneses cabina</x:v>
      </x:c>
      <x:c r="D12" s="2" t="n">
        <x:v>360</x:v>
      </x:c>
      <x:c r="E12" s="2" t="n">
        <x:v>105</x:v>
      </x:c>
      <x:c r="F12" s="2" t="n">
        <x:f>D12+E12</x:f>
        <x:v>465</x:v>
      </x:c>
      <x:c r="G12" s="2" t="n">
        <x:v>430</x:v>
      </x:c>
      <x:c r="H12" s="2" t="str">
        <x:f>IF(J12&lt;0,"Crítica",IF(I12&gt;0.9,"Alta","Normal"))</x:f>
        <x:v>Crítica</x:v>
      </x:c>
      <x:c r="I12" s="9" t="n">
        <x:f>F12/G12</x:f>
        <x:v>1.0813953488372092</x:v>
      </x:c>
      <x:c r="J12" s="2" t="n">
        <x:f>G12-F12</x:f>
        <x:v>-35</x:v>
      </x:c>
      <x:c r="K12" s="2" t="str">
        <x:v>Nivelar carga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Pintura T1</x:v>
      </x:c>
      <x:c r="B13" s="2" t="str">
        <x:v>Pintura</x:v>
      </x:c>
      <x:c r="C13" s="2" t="str">
        <x:v>Paneles</x:v>
      </x:c>
      <x:c r="D13" s="2" t="n">
        <x:v>310</x:v>
      </x:c>
      <x:c r="E13" s="2" t="n">
        <x:v>100</x:v>
      </x:c>
      <x:c r="F13" s="2" t="n">
        <x:f>D13+E13</x:f>
        <x:v>410</x:v>
      </x:c>
      <x:c r="G13" s="2" t="n">
        <x:v>360</x:v>
      </x:c>
      <x:c r="H13" s="2" t="str">
        <x:f>IF(J13&lt;0,"Crítica",IF(I13&gt;0.9,"Alta","Normal"))</x:f>
        <x:v>Crítica</x:v>
      </x:c>
      <x:c r="I13" s="9" t="n">
        <x:f>F13/G13</x:f>
        <x:v>1.1388888888888888</x:v>
      </x:c>
      <x:c r="J13" s="2" t="n">
        <x:f>G13-F13</x:f>
        <x:v>-50</x:v>
      </x:c>
      <x:c r="K13" s="2" t="str">
        <x:v>Reservar ventana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 t="str">
        <x:v>Pintura T2</x:v>
      </x:c>
      <x:c r="B14" s="2" t="str">
        <x:v>Pintura</x:v>
      </x:c>
      <x:c r="C14" s="2" t="str">
        <x:v>Soportes</x:v>
      </x:c>
      <x:c r="D14" s="2" t="n">
        <x:v>270</x:v>
      </x:c>
      <x:c r="E14" s="2" t="n">
        <x:v>65</x:v>
      </x:c>
      <x:c r="F14" s="2" t="n">
        <x:f>D14+E14</x:f>
        <x:v>335</x:v>
      </x:c>
      <x:c r="G14" s="2" t="n">
        <x:v>350</x:v>
      </x:c>
      <x:c r="H14" s="2" t="str">
        <x:f>IF(J14&lt;0,"Crítica",IF(I14&gt;0.9,"Alta","Normal"))</x:f>
        <x:v>Alta</x:v>
      </x:c>
      <x:c r="I14" s="9" t="n">
        <x:f>F14/G14</x:f>
        <x:v>0.9571428571428572</x:v>
      </x:c>
      <x:c r="J14" s="2" t="n">
        <x:f>G14-F14</x:f>
        <x:v>15</x:v>
      </x:c>
      <x:c r="K14" s="2" t="str">
        <x:v>Sin acción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Horno H1</x:v>
      </x:c>
      <x:c r="B15" s="2" t="str">
        <x:v>Tratamiento térmico</x:v>
      </x:c>
      <x:c r="C15" s="2" t="str">
        <x:v>Soportes motor</x:v>
      </x:c>
      <x:c r="D15" s="2" t="n">
        <x:v>250</x:v>
      </x:c>
      <x:c r="E15" s="2" t="n">
        <x:v>90</x:v>
      </x:c>
      <x:c r="F15" s="2" t="n">
        <x:f>D15+E15</x:f>
        <x:v>340</x:v>
      </x:c>
      <x:c r="G15" s="2" t="n">
        <x:v>320</x:v>
      </x:c>
      <x:c r="H15" s="2" t="str">
        <x:f>IF(J15&lt;0,"Crítica",IF(I15&gt;0.9,"Alta","Normal"))</x:f>
        <x:v>Crítica</x:v>
      </x:c>
      <x:c r="I15" s="9" t="n">
        <x:f>F15/G15</x:f>
        <x:v>1.0625</x:v>
      </x:c>
      <x:c r="J15" s="2" t="n">
        <x:f>G15-F15</x:f>
        <x:v>-20</x:v>
      </x:c>
      <x:c r="K15" s="2" t="str">
        <x:v>Confirmar lote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Horno H2</x:v>
      </x:c>
      <x:c r="B16" s="2" t="str">
        <x:v>Tratamiento térmico</x:v>
      </x:c>
      <x:c r="C16" s="2" t="str">
        <x:v>Componentes aluminio</x:v>
      </x:c>
      <x:c r="D16" s="2" t="n">
        <x:v>240</x:v>
      </x:c>
      <x:c r="E16" s="2" t="n">
        <x:v>75</x:v>
      </x:c>
      <x:c r="F16" s="2" t="n">
        <x:f>D16+E16</x:f>
        <x:v>315</x:v>
      </x:c>
      <x:c r="G16" s="2" t="n">
        <x:v>310</x:v>
      </x:c>
      <x:c r="H16" s="2" t="str">
        <x:f>IF(J16&lt;0,"Crítica",IF(I16&gt;0.9,"Alta","Normal"))</x:f>
        <x:v>Crítica</x:v>
      </x:c>
      <x:c r="I16" s="9" t="n">
        <x:f>F16/G16</x:f>
        <x:v>1.0161290322580645</x:v>
      </x:c>
      <x:c r="J16" s="2" t="n">
        <x:f>G16-F16</x:f>
        <x:v>-5</x:v>
      </x:c>
      <x:c r="K16" s="2" t="str">
        <x:v>Revisar mantenimiento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0aeffd1d4a8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28" hidden="0" customWidth="1"/>
  </x:cols>
  <x:sheetData>
    <x:row r="1" ht="15" hidden="0" customHeight="1">
      <x:c r="A1" s="2" t="str">
        <x:v>Calendario sintético de mantenimiento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16" t="str">
        <x:v>Línea</x:v>
      </x:c>
      <x:c r="B3" s="16" t="str">
        <x:v>Mes</x:v>
      </x:c>
      <x:c r="C3" s="16" t="str">
        <x:v>Horas</x:v>
      </x:c>
      <x:c r="D3" s="16" t="str">
        <x:v>Tipo</x:v>
      </x:c>
      <x:c r="E3" s="16" t="str">
        <x:v>Riesgo</x:v>
      </x:c>
      <x:c r="F3" s="16" t="str">
        <x:v>Tratamiento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 t="str">
        <x:v>Prensa P1</x:v>
      </x:c>
      <x:c r="B4" s="2" t="str">
        <x:v>sep-26</x:v>
      </x:c>
      <x:c r="C4" s="2" t="n">
        <x:v>22</x:v>
      </x:c>
      <x:c r="D4" s="2" t="str">
        <x:v>Preventivo</x:v>
      </x:c>
      <x:c r="E4" s="2" t="str">
        <x:v>Medio</x:v>
      </x:c>
      <x:c r="F4" s="2" t="str">
        <x:v>Confirmar ventana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Ensamble E1</x:v>
      </x:c>
      <x:c r="B5" s="2" t="str">
        <x:v>oct-26</x:v>
      </x:c>
      <x:c r="C5" s="2" t="n">
        <x:v>28</x:v>
      </x:c>
      <x:c r="D5" s="2" t="str">
        <x:v>Calibración</x:v>
      </x:c>
      <x:c r="E5" s="2" t="str">
        <x:v>Alto</x:v>
      </x:c>
      <x:c r="F5" s="2" t="str">
        <x:v>No solapar ramp-up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Soldadora S1</x:v>
      </x:c>
      <x:c r="B6" s="2" t="str">
        <x:v>nov-26</x:v>
      </x:c>
      <x:c r="C6" s="2" t="n">
        <x:v>18</x:v>
      </x:c>
      <x:c r="D6" s="2" t="str">
        <x:v>Preventivo</x:v>
      </x:c>
      <x:c r="E6" s="2" t="str">
        <x:v>Alto</x:v>
      </x:c>
      <x:c r="F6" s="2" t="str">
        <x:v>Reservar técnico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Pintura T1</x:v>
      </x:c>
      <x:c r="B7" s="2" t="str">
        <x:v>nov-26</x:v>
      </x:c>
      <x:c r="C7" s="2" t="n">
        <x:v>24</x:v>
      </x:c>
      <x:c r="D7" s="2" t="str">
        <x:v>Preventivo</x:v>
      </x:c>
      <x:c r="E7" s="2" t="str">
        <x:v>Medio</x:v>
      </x:c>
      <x:c r="F7" s="2" t="str">
        <x:v>Liberar capacidad alterna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Horno H1</x:v>
      </x:c>
      <x:c r="B8" s="2" t="str">
        <x:v>dic-26</x:v>
      </x:c>
      <x:c r="C8" s="2" t="n">
        <x:v>20</x:v>
      </x:c>
      <x:c r="D8" s="2" t="str">
        <x:v>Preventivo</x:v>
      </x:c>
      <x:c r="E8" s="2" t="str">
        <x:v>Alto</x:v>
      </x:c>
      <x:c r="F8" s="2" t="str">
        <x:v>Asegurar refacción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Inyectora I2</x:v>
      </x:c>
      <x:c r="B9" s="2" t="str">
        <x:v>dic-26</x:v>
      </x:c>
      <x:c r="C9" s="2" t="n">
        <x:v>26</x:v>
      </x:c>
      <x:c r="D9" s="2" t="str">
        <x:v>Cambio de molde</x:v>
      </x:c>
      <x:c r="E9" s="2" t="str">
        <x:v>Medio</x:v>
      </x:c>
      <x:c r="F9" s="2" t="str">
        <x:v>Planificar lote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899a02f0e554f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95" hidden="0" customWidth="1"/>
    <x:col min="4" max="4" width="38" hidden="0" customWidth="1"/>
  </x:cols>
  <x:sheetData>
    <x:row r="1" ht="15" hidden="0" customHeight="1">
      <x:c r="A1" s="4" t="str">
        <x:v>NovaDrive Components, S.A. de C.V. | Prompts para ChatGPT</x:v>
      </x:c>
      <x:c r="B1" s="4"/>
      <x:c r="C1" s="4"/>
      <x:c r="D1" s="4"/>
    </x:row>
    <x:row r="2">
      <x:c r="A2" s="5" t="str">
        <x:v>Caso sintético para capacitación con ChatGPT gratuito | Corte: septiembre de 2026</x:v>
      </x:c>
      <x:c r="B2" s="5"/>
      <x:c r="C2" s="5"/>
      <x:c r="D2" s="5"/>
    </x:row>
    <x:row r="3" ht="15" hidden="0" customHeight="1">
      <x:c r="A3" s="2"/>
      <x:c r="B3" s="2"/>
      <x:c r="C3" s="2"/>
      <x:c r="D3" s="2"/>
    </x:row>
    <x:row r="4" ht="15" hidden="0" customHeight="1">
      <x:c r="A4" s="16" t="str">
        <x:v>N.º</x:v>
      </x:c>
      <x:c r="B4" s="16" t="str">
        <x:v>Ejercicio</x:v>
      </x:c>
      <x:c r="C4" s="16" t="str">
        <x:v>Prompt para copiar</x:v>
      </x:c>
      <x:c r="D4" s="16" t="str">
        <x:v>Resultado esperado</x:v>
      </x:c>
    </x:row>
    <x:row r="5" ht="15" hidden="0" customHeight="1">
      <x:c r="A5" s="2" t="n">
        <x:v>1</x:v>
      </x:c>
      <x:c r="B5" s="2" t="str">
        <x:v>Cuellos de botella</x:v>
      </x:c>
      <x:c r="C5" s="2" t="str">
        <x:v>Identifica cuellos de botella por proceso y línea. No te quedes solo con el saldo total.</x:v>
      </x:c>
      <x:c r="D5" s="2" t="str">
        <x:v>Diagnóstico priorizado</x:v>
      </x:c>
    </x:row>
    <x:row r="6" ht="15" hidden="0" customHeight="1">
      <x:c r="A6" s="2" t="n">
        <x:v>2</x:v>
      </x:c>
      <x:c r="B6" s="2" t="str">
        <x:v>Secuenciación</x:v>
      </x:c>
      <x:c r="C6" s="2" t="str">
        <x:v>Propón una secuencia mensual para atender primero programas VE y mantener ventanas de mantenimiento.</x:v>
      </x:c>
      <x:c r="D6" s="2" t="str">
        <x:v>Plan por línea</x:v>
      </x:c>
    </x:row>
    <x:row r="7" ht="15" hidden="0" customHeight="1">
      <x:c r="A7" s="2" t="n">
        <x:v>3</x:v>
      </x:c>
      <x:c r="B7" s="2" t="str">
        <x:v>Crítica</x:v>
      </x:c>
      <x:c r="C7" s="2" t="str">
        <x:v>Explica qué conclusión sería incorrecta si solo miramos las horas agregadas.</x:v>
      </x:c>
      <x:c r="D7" s="2" t="str">
        <x:v>Riesgo de agregación</x:v>
      </x:c>
    </x:row>
    <x:row r="8" ht="15" hidden="0" customHeight="1">
      <x:c r="A8" s="2" t="n">
        <x:v>4</x:v>
      </x:c>
      <x:c r="B8" s="2" t="str">
        <x:v>Decisión</x:v>
      </x:c>
      <x:c r="C8" s="2" t="str">
        <x:v>Redacta una recomendación Go, No Go o Go con condiciones y evidencia faltante.</x:v>
      </x:c>
      <x:c r="D8" s="2" t="str">
        <x:v>Recomendación ejecutiva</x:v>
      </x:c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 ht="15" hidden="0" customHeight="1">
      <x:c r="A11" s="2"/>
      <x:c r="B11" s="2"/>
      <x:c r="C11" s="2"/>
      <x:c r="D11" s="2"/>
    </x:row>
    <x:row r="12" ht="15" hidden="0" customHeight="1">
      <x:c r="A12" s="2"/>
      <x:c r="B12" s="2"/>
      <x:c r="C12" s="2"/>
      <x:c r="D12" s="2"/>
    </x:row>
    <x:row r="13" ht="15" hidden="0" customHeight="1">
      <x:c r="A13" s="2"/>
      <x:c r="B13" s="2"/>
      <x:c r="C13" s="2"/>
      <x:c r="D13" s="2"/>
    </x:row>
    <x:row r="14" ht="15" hidden="0" customHeight="1">
      <x:c r="A14" s="2"/>
      <x:c r="B14" s="2"/>
      <x:c r="C14" s="2"/>
      <x:c r="D14" s="2"/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mergeCells>
    <x:mergeCell ref="A1:D1"/>
    <x:mergeCell ref="A1:D2"/>
  </x:mergeCells>
  <x:pageMargins left="0.7" right="0.7" top="0.75" bottom="0.75" header="0.3" footer="0.3"/>
  <x:tableParts count="1">
    <x:tablePart xmlns:r="http://schemas.openxmlformats.org/officeDocument/2006/relationships" r:id="Rab71162948724daa"/>
  </x:tableParts>
</x:worksheet>
</file>