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29669cb2014b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1c128690575a420d"/>
    <x:sheet xmlns:r="http://schemas.openxmlformats.org/officeDocument/2006/relationships" name="Materiales" sheetId="2" r:id="R1bad931d0cd94cd5"/>
    <x:sheet xmlns:r="http://schemas.openxmlformats.org/officeDocument/2006/relationships" name="Dependencias" sheetId="3" r:id="R99d3860ba8c440f3"/>
    <x:sheet xmlns:r="http://schemas.openxmlformats.org/officeDocument/2006/relationships" name="Prompts_ChatGPT" sheetId="4" r:id="Rd60edb9b06684f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$#,##0"/>
  </x:numFmts>
  <x:fonts count="8">
    <x:font>
      <x:sz val="11"/>
      <x:name val="Carlito"/>
    </x:font>
    <x:font>
      <x:sz val="10"/>
      <x:color rgb="FF1F1F1F"/>
      <x:name val="Arial"/>
    </x:font>
    <x:font>
      <x:b/>
      <x:sz val="16"/>
      <x:color rgb="FF174A5E"/>
      <x:name val="Arial"/>
    </x:font>
    <x:font>
      <x:b/>
      <x:i/>
      <x:sz val="10"/>
      <x:color rgb="FF666666"/>
      <x:name val="Arial"/>
    </x:font>
    <x:font>
      <x:i/>
      <x:sz val="10"/>
      <x:color rgb="FF666666"/>
      <x:name val="Arial"/>
    </x:font>
    <x:font>
      <x:b/>
      <x:sz val="11"/>
      <x:color rgb="FF174A5E"/>
      <x:name val="Arial"/>
    </x:font>
    <x:font>
      <x:b/>
      <x:sz val="10"/>
      <x:color rgb="FFFFFFFF"/>
      <x:name val="Arial"/>
    </x:font>
    <x:font>
      <x:b/>
      <x:sz val="10"/>
      <x:color rgb="FF174A5E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D9EAF0"/>
      </x:patternFill>
    </x:fill>
    <x:fill>
      <x:patternFill patternType="solid">
        <x:fgColor rgb="FFDCEAF2"/>
      </x:patternFill>
    </x:fill>
    <x:fill>
      <x:patternFill patternType="solid">
        <x:fgColor rgb="FF174A5E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54172c7d3544b4" /><Relationship Type="http://schemas.openxmlformats.org/officeDocument/2006/relationships/theme" Target="/xl/theme/theme1.xml" Id="R493cc618324f4589" /><Relationship Type="http://schemas.openxmlformats.org/officeDocument/2006/relationships/sharedStrings" Target="/xl/sharedStrings.xml" Id="Raa2e3a6a8820480c" /><Relationship Type="http://schemas.openxmlformats.org/officeDocument/2006/relationships/worksheet" Target="/xl/worksheets/sheet1.xml" Id="R1c128690575a420d" /><Relationship Type="http://schemas.openxmlformats.org/officeDocument/2006/relationships/worksheet" Target="/xl/worksheets/sheet2.xml" Id="R1bad931d0cd94cd5" /><Relationship Type="http://schemas.openxmlformats.org/officeDocument/2006/relationships/worksheet" Target="/xl/worksheets/sheet3.xml" Id="R99d3860ba8c440f3" /><Relationship Type="http://schemas.openxmlformats.org/officeDocument/2006/relationships/worksheet" Target="/xl/worksheets/sheet4.xml" Id="Rd60edb9b06684fd4" /></Relationships>
</file>

<file path=xl/tables/table1.xml><?xml version="1.0" encoding="utf-8"?>
<x:table xmlns:x="http://schemas.openxmlformats.org/spreadsheetml/2006/main" id="1" name="MaterialRisk" displayName="MaterialRisk" ref="D5:G10" headerRowCount="1" totalsRowCount="0" totalsRowShown="0">
  <x:tableColumns count="4">
    <x:tableColumn id="1" name="Material"/>
    <x:tableColumn id="2" name="Actual días"/>
    <x:tableColumn id="3" name="Con crecimiento"/>
    <x:tableColumn id="4" name="Proveedo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nventoryNotes" displayName="InventoryNotes" ref="A15:B19" headerRowCount="1" totalsRowCount="0" totalsRowShown="0">
  <x:tableColumns count="2">
    <x:tableColumn id="1" name="Hallazgo"/>
    <x:tableColumn id="2" name="Implicació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aterialDetail" displayName="MaterialDetail" ref="A4:K16" headerRowCount="1" totalsRowCount="0" totalsRowShown="0">
  <x:tableColumns count="11">
    <x:tableColumn id="1" name="Material"/>
    <x:tableColumn id="2" name="Tipo"/>
    <x:tableColumn id="3" name="Inventario"/>
    <x:tableColumn id="4" name="Consumo actual"/>
    <x:tableColumn id="5" name="Incremento"/>
    <x:tableColumn id="6" name="Plazo días"/>
    <x:tableColumn id="7" name="Proveedor"/>
    <x:tableColumn id="8" name="Cobertura actual"/>
    <x:tableColumn id="9" name="Cobertura crecimiento"/>
    <x:tableColumn id="10" name="Criticidad"/>
    <x:tableColumn id="11" name="Valor inventario MX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ependency" displayName="Dependency" ref="A3:E9" headerRowCount="1" totalsRowCount="0" totalsRowShown="0">
  <x:tableColumns count="5">
    <x:tableColumn id="1" name="Material"/>
    <x:tableColumn id="2" name="Programa principal"/>
    <x:tableColumn id="3" name="Proveedor"/>
    <x:tableColumn id="4" name="Alterno"/>
    <x:tableColumn id="5" name="Observació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mptTable" displayName="PromptTable" ref="A4:D8" headerRowCount="1" totalsRowCount="0" totalsRowShown="0">
  <x:tableColumns count="4">
    <x:tableColumn id="1" name="N.º"/>
    <x:tableColumn id="2" name="Ejercicio"/>
    <x:tableColumn id="3" name="Prompt para copiar"/>
    <x:tableColumn id="4" name="Resultado esper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4192cd6b5a8434d" /><Relationship Type="http://schemas.openxmlformats.org/officeDocument/2006/relationships/table" Target="/xl/tables/table2.xml" Id="R64d62569da3e4a0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0aaa0eccf588476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0c901550bd684a0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30d5daa5f33b44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9" hidden="0" customWidth="1"/>
    <x:col min="4" max="4" width="22" hidden="0" customWidth="1"/>
    <x:col min="5" max="5" width="17" hidden="0" customWidth="1"/>
    <x:col min="6" max="6" width="18" hidden="0" customWidth="1"/>
    <x:col min="7" max="7" width="22" hidden="0" customWidth="1"/>
  </x:cols>
  <x:sheetData>
    <x:row r="1" ht="15" hidden="0" customHeight="1">
      <x:c r="A1" s="4" t="str">
        <x:v>NovaDrive Components, S.A. de C.V. | Inventario y cobertura de materiales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5" hidden="0" customHeight="1">
      <x:c r="A2" s="5" t="str">
        <x:v>Caso sintético para capacitación con ChatGPT gratuito | Corte: septiembre de 2026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7" t="str">
        <x:v>Indicadores clave</x:v>
      </x:c>
      <x:c r="B4" s="7"/>
      <x:c r="C4" s="2"/>
      <x:c r="D4" s="7" t="str">
        <x:v>Materiales con menor cobertura</x:v>
      </x:c>
      <x:c r="E4" s="7"/>
      <x:c r="F4" s="7"/>
      <x:c r="G4" s="7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 t="str">
        <x:v>Cobertura actual promedio (días)</x:v>
      </x:c>
      <x:c r="B5" s="10" t="n">
        <x:f>AVERAGE(Materiales!H5:H16)</x:f>
        <x:v>24.050649399966755</x:v>
      </x:c>
      <x:c r="C5" s="2"/>
      <x:c r="D5" s="16" t="str">
        <x:v>Material</x:v>
      </x:c>
      <x:c r="E5" s="16" t="str">
        <x:v>Actual días</x:v>
      </x:c>
      <x:c r="F5" s="16" t="str">
        <x:v>Con crecimiento</x:v>
      </x:c>
      <x:c r="G5" s="16" t="str">
        <x:v>Proveedor</x:v>
      </x:c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2" t="str">
        <x:v>Cobertura con crecimiento</x:v>
      </x:c>
      <x:c r="B6" s="10" t="n">
        <x:f>AVERAGE(Materiales!I5:I16)</x:f>
        <x:v>20.947187510027682</x:v>
      </x:c>
      <x:c r="C6" s="2"/>
      <x:c r="D6" s="2" t="str">
        <x:f>Materiales!A5</x:f>
        <x:v>Acero eléctrico</x:v>
      </x:c>
      <x:c r="E6" s="2" t="n">
        <x:f>Materiales!H5</x:f>
        <x:v>19.024390243902438</x:v>
      </x:c>
      <x:c r="F6" s="2" t="n">
        <x:f>Materiales!I5</x:f>
        <x:v>15.75757575757576</x:v>
      </x:c>
      <x:c r="G6" s="2" t="str">
        <x:f>Materiales!G5</x:f>
        <x:v>Aceros del Norte</x:v>
      </x:c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 t="str">
        <x:v>Materiales críticos</x:v>
      </x:c>
      <x:c r="B7" s="10" t="n">
        <x:f>COUNTIF(Materiales!J5:J16,"Crítico")</x:f>
        <x:v>3</x:v>
      </x:c>
      <x:c r="C7" s="2"/>
      <x:c r="D7" s="2" t="str">
        <x:f>Materiales!A6</x:f>
        <x:v>Resina PA66</x:v>
      </x:c>
      <x:c r="E7" s="2" t="n">
        <x:f>Materiales!H6</x:f>
        <x:v>17.884615384615383</x:v>
      </x:c>
      <x:c r="F7" s="2" t="n">
        <x:f>Materiales!I6</x:f>
        <x:v>14.53125</x:v>
      </x:c>
      <x:c r="G7" s="2" t="str">
        <x:f>Materiales!G6</x:f>
        <x:v>Polímeros Andinos</x:v>
      </x:c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2" t="str">
        <x:v>Materiales bajo 14 días</x:v>
      </x:c>
      <x:c r="B8" s="10" t="n">
        <x:f>COUNTIF(Materiales!I5:I16,"&lt;14")</x:f>
        <x:v>0</x:v>
      </x:c>
      <x:c r="C8" s="2"/>
      <x:c r="D8" s="2" t="str">
        <x:f>Materiales!A7</x:f>
        <x:v>Aluminio fundido</x:v>
      </x:c>
      <x:c r="E8" s="2" t="n">
        <x:f>Materiales!H7</x:f>
        <x:v>20.294117647058826</x:v>
      </x:c>
      <x:c r="F8" s="2" t="n">
        <x:f>Materiales!I7</x:f>
        <x:v>17.692307692307693</x:v>
      </x:c>
      <x:c r="G8" s="2" t="str">
        <x:f>Materiales!G7</x:f>
        <x:v>Fundición Central</x:v>
      </x:c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" t="str">
        <x:v>Valor inventario MXN</x:v>
      </x:c>
      <x:c r="B9" s="11" t="n">
        <x:f>SUM(Materiales!K5:K16)</x:f>
        <x:v>2123950</x:v>
      </x:c>
      <x:c r="C9" s="2"/>
      <x:c r="D9" s="2" t="str">
        <x:f>Materiales!A8</x:f>
        <x:v>Conector HV</x:v>
      </x:c>
      <x:c r="E9" s="2" t="n">
        <x:f>Materiales!H8</x:f>
        <x:v>17.41935483870968</x:v>
      </x:c>
      <x:c r="F9" s="2" t="n">
        <x:f>Materiales!I8</x:f>
        <x:v>14.399999999999999</x:v>
      </x:c>
      <x:c r="G9" s="2" t="str">
        <x:f>Materiales!G8</x:f>
        <x:v>ElectroLink</x:v>
      </x:c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 t="str">
        <x:v>Estado de materiales</x:v>
      </x:c>
      <x:c r="B10" s="12" t="str">
        <x:f>IF(B8&gt;0,"No listo","Disponible")</x:f>
        <x:v>Disponible</x:v>
      </x:c>
      <x:c r="C10" s="2"/>
      <x:c r="D10" s="2" t="str">
        <x:f>Materiales!A9</x:f>
        <x:v>Terminal cobre</x:v>
      </x:c>
      <x:c r="E10" s="2" t="n">
        <x:f>Materiales!H9</x:f>
        <x:v>20</x:v>
      </x:c>
      <x:c r="F10" s="2" t="n">
        <x:f>Materiales!I9</x:f>
        <x:v>17.349397590361445</x:v>
      </x:c>
      <x:c r="G10" s="2" t="str">
        <x:f>Materiales!G9</x:f>
        <x:v>ElectroLink</x:v>
      </x:c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7" t="str">
        <x:v>Lectura para la decisión</x:v>
      </x:c>
      <x:c r="B14" s="7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16" t="str">
        <x:v>Hallazgo</x:v>
      </x:c>
      <x:c r="B15" s="16" t="str">
        <x:v>Implicación</x:v>
      </x:c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 t="str">
        <x:v>Acero eléctrico</x:v>
      </x:c>
      <x:c r="B16" s="2" t="str">
        <x:v>Impacta soportes, bandejas y componentes de batería.</x:v>
      </x:c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 t="str">
        <x:v>Resina de ingeniería</x:v>
      </x:c>
      <x:c r="B17" s="2" t="str">
        <x:v>Puede limitar cubiertas y piezas plásticas.</x:v>
      </x:c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 t="str">
        <x:v>Conectores HV</x:v>
      </x:c>
      <x:c r="B18" s="2" t="str">
        <x:v>Una falta detiene el ensamble de arneses.</x:v>
      </x:c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 t="str">
        <x:v>Siguiente paso</x:v>
      </x:c>
      <x:c r="B19" s="2" t="str">
        <x:v>Solicitar fechas de reposición y alternos aprobados.</x:v>
      </x:c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24" hidden="0" customHeight="1">
      <x:c r="A23" s="17" t="str">
        <x:v>Nota</x:v>
      </x:c>
      <x:c r="B23" s="18" t="str">
        <x:v>Cobertura = inventario / consumo mensual × 30.</x:v>
      </x:c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24" hidden="0" customHeight="1">
      <x:c r="A24" s="17" t="str">
        <x:v>Umbral ilustrativo</x:v>
      </x:c>
      <x:c r="B24" s="18" t="str">
        <x:v>Menos de 14 días se marca como baja.</x:v>
      </x:c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48" hidden="0" customHeight="1">
      <x:c r="A25" s="17" t="str">
        <x:v>Uso</x:v>
      </x:c>
      <x:c r="B25" s="18" t="str">
        <x:v>Pida primero el diagnóstico y después preguntas para Compras.</x:v>
      </x:c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24" hidden="0" customHeight="1">
      <x:c r="A26" s="17" t="str">
        <x:v>Datos</x:v>
      </x:c>
      <x:c r="B26" s="18" t="str">
        <x:v>Valores sintéticos y editables.</x:v>
      </x:c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</x:sheetData>
  <x:mergeCells>
    <x:mergeCell ref="A1:K1"/>
    <x:mergeCell ref="A1:K2"/>
    <x:mergeCell ref="A4:B4"/>
    <x:mergeCell ref="D4:G4"/>
    <x:mergeCell ref="A14:B14"/>
  </x:mergeCells>
  <x:pageMargins left="0.7" right="0.7" top="0.75" bottom="0.75" header="0.3" footer="0.3"/>
  <x:tableParts count="2">
    <x:tablePart xmlns:r="http://schemas.openxmlformats.org/officeDocument/2006/relationships" r:id="R34192cd6b5a8434d"/>
    <x:tablePart xmlns:r="http://schemas.openxmlformats.org/officeDocument/2006/relationships" r:id="R64d62569da3e4a0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5" hidden="0" customWidth="1"/>
    <x:col min="4" max="4" width="16" hidden="0" customWidth="1"/>
    <x:col min="5" max="5" width="14" hidden="0" customWidth="1"/>
    <x:col min="6" max="6" width="13" hidden="0" customWidth="1"/>
    <x:col min="7" max="7" width="21" hidden="0" customWidth="1"/>
    <x:col min="8" max="8" width="18" hidden="0" customWidth="1"/>
    <x:col min="9" max="9" width="21" hidden="0" customWidth="1"/>
    <x:col min="10" max="10" width="14" hidden="0" customWidth="1"/>
    <x:col min="11" max="11" width="19" hidden="0" customWidth="1"/>
  </x:cols>
  <x:sheetData>
    <x:row r="1" ht="15" hidden="0" customHeight="1">
      <x:c r="A1" s="2" t="str">
        <x:v>NovaDrive Components, S.A. de C.V. | Materiales críticos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5" hidden="0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16" t="str">
        <x:v>Material</x:v>
      </x:c>
      <x:c r="B4" s="16" t="str">
        <x:v>Tipo</x:v>
      </x:c>
      <x:c r="C4" s="16" t="str">
        <x:v>Inventario</x:v>
      </x:c>
      <x:c r="D4" s="16" t="str">
        <x:v>Consumo actual</x:v>
      </x:c>
      <x:c r="E4" s="16" t="str">
        <x:v>Incremento</x:v>
      </x:c>
      <x:c r="F4" s="16" t="str">
        <x:v>Plazo días</x:v>
      </x:c>
      <x:c r="G4" s="16" t="str">
        <x:v>Proveedor</x:v>
      </x:c>
      <x:c r="H4" s="16" t="str">
        <x:v>Cobertura actual</x:v>
      </x:c>
      <x:c r="I4" s="16" t="str">
        <x:v>Cobertura crecimiento</x:v>
      </x:c>
      <x:c r="J4" s="16" t="str">
        <x:v>Criticidad</x:v>
      </x:c>
      <x:c r="K4" s="16" t="str">
        <x:v>Valor inventario MXN</x:v>
      </x:c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 t="str">
        <x:v>Acero eléctrico</x:v>
      </x:c>
      <x:c r="B5" s="2" t="str">
        <x:v>Metal</x:v>
      </x:c>
      <x:c r="C5" s="2" t="n">
        <x:v>5200</x:v>
      </x:c>
      <x:c r="D5" s="2" t="n">
        <x:v>8200</x:v>
      </x:c>
      <x:c r="E5" s="2" t="n">
        <x:v>1700</x:v>
      </x:c>
      <x:c r="F5" s="2" t="n">
        <x:v>21</x:v>
      </x:c>
      <x:c r="G5" s="2" t="str">
        <x:v>Aceros del Norte</x:v>
      </x:c>
      <x:c r="H5" s="8" t="n">
        <x:f>C5/D5*30</x:f>
        <x:v>19.024390243902438</x:v>
      </x:c>
      <x:c r="I5" s="8" t="n">
        <x:f>C5/(D5+E5)*30</x:f>
        <x:v>15.75757575757576</x:v>
      </x:c>
      <x:c r="J5" s="2" t="str">
        <x:v>Crítico</x:v>
      </x:c>
      <x:c r="K5" s="9" t="n">
        <x:f>C5*IF(B5="Metal",82,IF(B5="Polímero",67,IF(B5="Eléctrico",48,35)))</x:f>
        <x:v>426400</x:v>
      </x:c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2" t="str">
        <x:v>Resina PA66</x:v>
      </x:c>
      <x:c r="B6" s="2" t="str">
        <x:v>Polímero</x:v>
      </x:c>
      <x:c r="C6" s="2" t="n">
        <x:v>3100</x:v>
      </x:c>
      <x:c r="D6" s="2" t="n">
        <x:v>5200</x:v>
      </x:c>
      <x:c r="E6" s="2" t="n">
        <x:v>1200</x:v>
      </x:c>
      <x:c r="F6" s="2" t="n">
        <x:v>28</x:v>
      </x:c>
      <x:c r="G6" s="2" t="str">
        <x:v>Polímeros Andinos</x:v>
      </x:c>
      <x:c r="H6" s="8" t="n">
        <x:f>C6/D6*30</x:f>
        <x:v>17.884615384615383</x:v>
      </x:c>
      <x:c r="I6" s="8" t="n">
        <x:f>C6/(D6+E6)*30</x:f>
        <x:v>14.53125</x:v>
      </x:c>
      <x:c r="J6" s="2" t="str">
        <x:v>Crítico</x:v>
      </x:c>
      <x:c r="K6" s="9" t="n">
        <x:f>C6*IF(B6="Metal",82,IF(B6="Polímero",67,IF(B6="Eléctrico",48,35)))</x:f>
        <x:v>207700</x:v>
      </x:c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 t="str">
        <x:v>Aluminio fundido</x:v>
      </x:c>
      <x:c r="B7" s="2" t="str">
        <x:v>Metal</x:v>
      </x:c>
      <x:c r="C7" s="2" t="n">
        <x:v>4600</x:v>
      </x:c>
      <x:c r="D7" s="2" t="n">
        <x:v>6800</x:v>
      </x:c>
      <x:c r="E7" s="2" t="n">
        <x:v>1000</x:v>
      </x:c>
      <x:c r="F7" s="2" t="n">
        <x:v>20</x:v>
      </x:c>
      <x:c r="G7" s="2" t="str">
        <x:v>Fundición Central</x:v>
      </x:c>
      <x:c r="H7" s="8" t="n">
        <x:f>C7/D7*30</x:f>
        <x:v>20.294117647058826</x:v>
      </x:c>
      <x:c r="I7" s="8" t="n">
        <x:f>C7/(D7+E7)*30</x:f>
        <x:v>17.692307692307693</x:v>
      </x:c>
      <x:c r="J7" s="2" t="str">
        <x:v>Alto</x:v>
      </x:c>
      <x:c r="K7" s="9" t="n">
        <x:f>C7*IF(B7="Metal",82,IF(B7="Polímero",67,IF(B7="Eléctrico",48,35)))</x:f>
        <x:v>377200</x:v>
      </x:c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2" t="str">
        <x:v>Conector HV</x:v>
      </x:c>
      <x:c r="B8" s="2" t="str">
        <x:v>Eléctrico</x:v>
      </x:c>
      <x:c r="C8" s="2" t="n">
        <x:v>1800</x:v>
      </x:c>
      <x:c r="D8" s="2" t="n">
        <x:v>3100</x:v>
      </x:c>
      <x:c r="E8" s="2" t="n">
        <x:v>650</x:v>
      </x:c>
      <x:c r="F8" s="2" t="n">
        <x:v>30</x:v>
      </x:c>
      <x:c r="G8" s="2" t="str">
        <x:v>ElectroLink</x:v>
      </x:c>
      <x:c r="H8" s="8" t="n">
        <x:f>C8/D8*30</x:f>
        <x:v>17.41935483870968</x:v>
      </x:c>
      <x:c r="I8" s="8" t="n">
        <x:f>C8/(D8+E8)*30</x:f>
        <x:v>14.399999999999999</x:v>
      </x:c>
      <x:c r="J8" s="2" t="str">
        <x:v>Crítico</x:v>
      </x:c>
      <x:c r="K8" s="9" t="n">
        <x:f>C8*IF(B8="Metal",82,IF(B8="Polímero",67,IF(B8="Eléctrico",48,35)))</x:f>
        <x:v>86400</x:v>
      </x:c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" t="str">
        <x:v>Terminal cobre</x:v>
      </x:c>
      <x:c r="B9" s="2" t="str">
        <x:v>Eléctrico</x:v>
      </x:c>
      <x:c r="C9" s="2" t="n">
        <x:v>2400</x:v>
      </x:c>
      <x:c r="D9" s="2" t="n">
        <x:v>3600</x:v>
      </x:c>
      <x:c r="E9" s="2" t="n">
        <x:v>550</x:v>
      </x:c>
      <x:c r="F9" s="2" t="n">
        <x:v>18</x:v>
      </x:c>
      <x:c r="G9" s="2" t="str">
        <x:v>ElectroLink</x:v>
      </x:c>
      <x:c r="H9" s="8" t="n">
        <x:f>C9/D9*30</x:f>
        <x:v>20</x:v>
      </x:c>
      <x:c r="I9" s="8" t="n">
        <x:f>C9/(D9+E9)*30</x:f>
        <x:v>17.349397590361445</x:v>
      </x:c>
      <x:c r="J9" s="2" t="str">
        <x:v>Alto</x:v>
      </x:c>
      <x:c r="K9" s="9" t="n">
        <x:f>C9*IF(B9="Metal",82,IF(B9="Polímero",67,IF(B9="Eléctrico",48,35)))</x:f>
        <x:v>115200</x:v>
      </x:c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 t="str">
        <x:v>Pintura e-coat</x:v>
      </x:c>
      <x:c r="B10" s="2" t="str">
        <x:v>Químico</x:v>
      </x:c>
      <x:c r="C10" s="2" t="n">
        <x:v>1900</x:v>
      </x:c>
      <x:c r="D10" s="2" t="n">
        <x:v>2500</x:v>
      </x:c>
      <x:c r="E10" s="2" t="n">
        <x:v>380</x:v>
      </x:c>
      <x:c r="F10" s="2" t="n">
        <x:v>14</x:v>
      </x:c>
      <x:c r="G10" s="2" t="str">
        <x:v>Quimex Auto</x:v>
      </x:c>
      <x:c r="H10" s="8" t="n">
        <x:f>C10/D10*30</x:f>
        <x:v>22.8</x:v>
      </x:c>
      <x:c r="I10" s="8" t="n">
        <x:f>C10/(D10+E10)*30</x:f>
        <x:v>19.791666666666668</x:v>
      </x:c>
      <x:c r="J10" s="2" t="str">
        <x:v>Alto</x:v>
      </x:c>
      <x:c r="K10" s="9" t="n">
        <x:f>C10*IF(B10="Metal",82,IF(B10="Polímero",67,IF(B10="Eléctrico",48,35)))</x:f>
        <x:v>66500</x:v>
      </x:c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 t="str">
        <x:v>Adhesivo estructural</x:v>
      </x:c>
      <x:c r="B11" s="2" t="str">
        <x:v>Químico</x:v>
      </x:c>
      <x:c r="C11" s="2" t="n">
        <x:v>1250</x:v>
      </x:c>
      <x:c r="D11" s="2" t="n">
        <x:v>1600</x:v>
      </x:c>
      <x:c r="E11" s="2" t="n">
        <x:v>220</x:v>
      </x:c>
      <x:c r="F11" s="2" t="n">
        <x:v>16</x:v>
      </x:c>
      <x:c r="G11" s="2" t="str">
        <x:v>Quimex Auto</x:v>
      </x:c>
      <x:c r="H11" s="8" t="n">
        <x:f>C11/D11*30</x:f>
        <x:v>23.4375</x:v>
      </x:c>
      <x:c r="I11" s="8" t="n">
        <x:f>C11/(D11+E11)*30</x:f>
        <x:v>20.604395604395606</x:v>
      </x:c>
      <x:c r="J11" s="2" t="str">
        <x:v>Medio</x:v>
      </x:c>
      <x:c r="K11" s="9" t="n">
        <x:f>C11*IF(B11="Metal",82,IF(B11="Polímero",67,IF(B11="Eléctrico",48,35)))</x:f>
        <x:v>43750</x:v>
      </x:c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 t="str">
        <x:v>Acero inoxidable</x:v>
      </x:c>
      <x:c r="B12" s="2" t="str">
        <x:v>Metal</x:v>
      </x:c>
      <x:c r="C12" s="2" t="n">
        <x:v>2800</x:v>
      </x:c>
      <x:c r="D12" s="2" t="n">
        <x:v>3300</x:v>
      </x:c>
      <x:c r="E12" s="2" t="n">
        <x:v>400</x:v>
      </x:c>
      <x:c r="F12" s="2" t="n">
        <x:v>22</x:v>
      </x:c>
      <x:c r="G12" s="2" t="str">
        <x:v>Aceros del Norte</x:v>
      </x:c>
      <x:c r="H12" s="8" t="n">
        <x:f>C12/D12*30</x:f>
        <x:v>25.454545454545457</x:v>
      </x:c>
      <x:c r="I12" s="8" t="n">
        <x:f>C12/(D12+E12)*30</x:f>
        <x:v>22.702702702702705</x:v>
      </x:c>
      <x:c r="J12" s="2" t="str">
        <x:v>Medio</x:v>
      </x:c>
      <x:c r="K12" s="9" t="n">
        <x:f>C12*IF(B12="Metal",82,IF(B12="Polímero",67,IF(B12="Eléctrico",48,35)))</x:f>
        <x:v>229600</x:v>
      </x:c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 t="str">
        <x:v>Policarbonato</x:v>
      </x:c>
      <x:c r="B13" s="2" t="str">
        <x:v>Polímero</x:v>
      </x:c>
      <x:c r="C13" s="2" t="n">
        <x:v>2100</x:v>
      </x:c>
      <x:c r="D13" s="2" t="n">
        <x:v>2600</x:v>
      </x:c>
      <x:c r="E13" s="2" t="n">
        <x:v>330</x:v>
      </x:c>
      <x:c r="F13" s="2" t="n">
        <x:v>17</x:v>
      </x:c>
      <x:c r="G13" s="2" t="str">
        <x:v>Polímeros Andinos</x:v>
      </x:c>
      <x:c r="H13" s="8" t="n">
        <x:f>C13/D13*30</x:f>
        <x:v>24.23076923076923</x:v>
      </x:c>
      <x:c r="I13" s="8" t="n">
        <x:f>C13/(D13+E13)*30</x:f>
        <x:v>21.501706484641637</x:v>
      </x:c>
      <x:c r="J13" s="2" t="str">
        <x:v>Alto</x:v>
      </x:c>
      <x:c r="K13" s="9" t="n">
        <x:f>C13*IF(B13="Metal",82,IF(B13="Polímero",67,IF(B13="Eléctrico",48,35)))</x:f>
        <x:v>140700</x:v>
      </x:c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 t="str">
        <x:v>Espuma acústica</x:v>
      </x:c>
      <x:c r="B14" s="2" t="str">
        <x:v>Interior</x:v>
      </x:c>
      <x:c r="C14" s="2" t="n">
        <x:v>3400</x:v>
      </x:c>
      <x:c r="D14" s="2" t="n">
        <x:v>3000</x:v>
      </x:c>
      <x:c r="E14" s="2" t="n">
        <x:v>450</x:v>
      </x:c>
      <x:c r="F14" s="2" t="n">
        <x:v>19</x:v>
      </x:c>
      <x:c r="G14" s="2" t="str">
        <x:v>Interiores MX</x:v>
      </x:c>
      <x:c r="H14" s="8" t="n">
        <x:f>C14/D14*30</x:f>
        <x:v>34</x:v>
      </x:c>
      <x:c r="I14" s="8" t="n">
        <x:f>C14/(D14+E14)*30</x:f>
        <x:v>29.565217391304348</x:v>
      </x:c>
      <x:c r="J14" s="2" t="str">
        <x:v>Medio</x:v>
      </x:c>
      <x:c r="K14" s="9" t="n">
        <x:f>C14*IF(B14="Metal",82,IF(B14="Polímero",67,IF(B14="Eléctrico",48,35)))</x:f>
        <x:v>119000</x:v>
      </x:c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 t="str">
        <x:v>Caucho EPDM</x:v>
      </x:c>
      <x:c r="B15" s="2" t="str">
        <x:v>Sello</x:v>
      </x:c>
      <x:c r="C15" s="2" t="n">
        <x:v>2700</x:v>
      </x:c>
      <x:c r="D15" s="2" t="n">
        <x:v>3200</x:v>
      </x:c>
      <x:c r="E15" s="2" t="n">
        <x:v>420</x:v>
      </x:c>
      <x:c r="F15" s="2" t="n">
        <x:v>24</x:v>
      </x:c>
      <x:c r="G15" s="2" t="str">
        <x:v>Sellos del Bajío</x:v>
      </x:c>
      <x:c r="H15" s="8" t="n">
        <x:f>C15/D15*30</x:f>
        <x:v>25.3125</x:v>
      </x:c>
      <x:c r="I15" s="8" t="n">
        <x:f>C15/(D15+E15)*30</x:f>
        <x:v>22.375690607734807</x:v>
      </x:c>
      <x:c r="J15" s="2" t="str">
        <x:v>Alto</x:v>
      </x:c>
      <x:c r="K15" s="9" t="n">
        <x:f>C15*IF(B15="Metal",82,IF(B15="Polímero",67,IF(B15="Eléctrico",48,35)))</x:f>
        <x:v>94500</x:v>
      </x:c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 t="str">
        <x:v>Etiqueta trazable</x:v>
      </x:c>
      <x:c r="B16" s="2" t="str">
        <x:v>Consumible</x:v>
      </x:c>
      <x:c r="C16" s="2" t="n">
        <x:v>6200</x:v>
      </x:c>
      <x:c r="D16" s="2" t="n">
        <x:v>4800</x:v>
      </x:c>
      <x:c r="E16" s="2" t="n">
        <x:v>500</x:v>
      </x:c>
      <x:c r="F16" s="2" t="n">
        <x:v>10</x:v>
      </x:c>
      <x:c r="G16" s="2" t="str">
        <x:v>Suministros Auto</x:v>
      </x:c>
      <x:c r="H16" s="8" t="n">
        <x:f>C16/D16*30</x:f>
        <x:v>38.75</x:v>
      </x:c>
      <x:c r="I16" s="8" t="n">
        <x:f>C16/(D16+E16)*30</x:f>
        <x:v>35.094339622641506</x:v>
      </x:c>
      <x:c r="J16" s="2" t="str">
        <x:v>Bajo</x:v>
      </x:c>
      <x:c r="K16" s="9" t="n">
        <x:f>C16*IF(B16="Metal",82,IF(B16="Polímero",67,IF(B16="Eléctrico",48,35)))</x:f>
        <x:v>217000</x:v>
      </x:c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0aaa0eccf588476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5" hidden="0" customWidth="1"/>
    <x:col min="3" max="3" width="22" hidden="0" customWidth="1"/>
    <x:col min="4" max="4" width="17" hidden="0" customWidth="1"/>
    <x:col min="5" max="5" width="29" hidden="0" customWidth="1"/>
  </x:cols>
  <x:sheetData>
    <x:row r="1" ht="15" hidden="0" customHeight="1">
      <x:c r="A1" s="2" t="str">
        <x:v>Mapa sintético de dependencia material-programa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</x:row>
    <x:row r="2" ht="15" hidden="0" customHeight="1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</x:row>
    <x:row r="3" ht="15" hidden="0" customHeight="1">
      <x:c r="A3" s="16" t="str">
        <x:v>Material</x:v>
      </x:c>
      <x:c r="B3" s="16" t="str">
        <x:v>Programa principal</x:v>
      </x:c>
      <x:c r="C3" s="16" t="str">
        <x:v>Proveedor</x:v>
      </x:c>
      <x:c r="D3" s="16" t="str">
        <x:v>Alterno</x:v>
      </x:c>
      <x:c r="E3" s="16" t="str">
        <x:v>Observación</x:v>
      </x:c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</x:row>
    <x:row r="4" ht="15" hidden="0" customHeight="1">
      <x:c r="A4" s="2" t="str">
        <x:v>Acero eléctrico</x:v>
      </x:c>
      <x:c r="B4" s="2" t="str">
        <x:v>Soportes y bandejas</x:v>
      </x:c>
      <x:c r="C4" s="2" t="str">
        <x:v>Aceros del Norte</x:v>
      </x:c>
      <x:c r="D4" s="2" t="str">
        <x:v>En evaluación</x:v>
      </x:c>
      <x:c r="E4" s="2" t="str">
        <x:v>Afecta varias familias</x:v>
      </x:c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</x:row>
    <x:row r="5" ht="15" hidden="0" customHeight="1">
      <x:c r="A5" s="2" t="str">
        <x:v>Resina PA66</x:v>
      </x:c>
      <x:c r="B5" s="2" t="str">
        <x:v>Cubiertas batería</x:v>
      </x:c>
      <x:c r="C5" s="2" t="str">
        <x:v>Polímeros Andinos</x:v>
      </x:c>
      <x:c r="D5" s="2" t="str">
        <x:v>No</x:v>
      </x:c>
      <x:c r="E5" s="2" t="str">
        <x:v>Plazo largo</x:v>
      </x:c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</x:row>
    <x:row r="6" ht="15" hidden="0" customHeight="1">
      <x:c r="A6" s="2" t="str">
        <x:v>Conector HV</x:v>
      </x:c>
      <x:c r="B6" s="2" t="str">
        <x:v>Arneses batería</x:v>
      </x:c>
      <x:c r="C6" s="2" t="str">
        <x:v>ElectroLink</x:v>
      </x:c>
      <x:c r="D6" s="2" t="str">
        <x:v>No</x:v>
      </x:c>
      <x:c r="E6" s="2" t="str">
        <x:v>Componente especializado</x:v>
      </x:c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</x:row>
    <x:row r="7" ht="15" hidden="0" customHeight="1">
      <x:c r="A7" s="2" t="str">
        <x:v>Aluminio fundido</x:v>
      </x:c>
      <x:c r="B7" s="2" t="str">
        <x:v>Bandejas electrónicas</x:v>
      </x:c>
      <x:c r="C7" s="2" t="str">
        <x:v>Fundición Central</x:v>
      </x:c>
      <x:c r="D7" s="2" t="str">
        <x:v>Sí</x:v>
      </x:c>
      <x:c r="E7" s="2" t="str">
        <x:v>Validar homologación</x:v>
      </x:c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</x:row>
    <x:row r="8" ht="15" hidden="0" customHeight="1">
      <x:c r="A8" s="2" t="str">
        <x:v>Pintura e-coat</x:v>
      </x:c>
      <x:c r="B8" s="2" t="str">
        <x:v>Paneles y soportes</x:v>
      </x:c>
      <x:c r="C8" s="2" t="str">
        <x:v>Quimex Auto</x:v>
      </x:c>
      <x:c r="D8" s="2" t="str">
        <x:v>Sí</x:v>
      </x:c>
      <x:c r="E8" s="2" t="str">
        <x:v>Capacidad de cabina</x:v>
      </x:c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</x:row>
    <x:row r="9" ht="15" hidden="0" customHeight="1">
      <x:c r="A9" s="2" t="str">
        <x:v>Policarbonato</x:v>
      </x:c>
      <x:c r="B9" s="2" t="str">
        <x:v>Piezas interiores</x:v>
      </x:c>
      <x:c r="C9" s="2" t="str">
        <x:v>Polímeros Andinos</x:v>
      </x:c>
      <x:c r="D9" s="2" t="str">
        <x:v>En evaluación</x:v>
      </x:c>
      <x:c r="E9" s="2" t="str">
        <x:v>Riesgo de calidad</x:v>
      </x:c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  <x:c r="V9" s="2"/>
      <x:c r="W9" s="2"/>
      <x:c r="X9" s="2"/>
      <x:c r="Y9" s="2"/>
      <x:c r="Z9" s="2"/>
    </x:row>
    <x:row r="10" ht="15" hidden="0" customHeight="1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  <x:c r="V10" s="2"/>
      <x:c r="W10" s="2"/>
      <x:c r="X10" s="2"/>
      <x:c r="Y10" s="2"/>
      <x:c r="Z10" s="2"/>
    </x:row>
    <x:row r="11" ht="15" hidden="0" customHeight="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  <x:c r="V11" s="2"/>
      <x:c r="W11" s="2"/>
      <x:c r="X11" s="2"/>
      <x:c r="Y11" s="2"/>
      <x:c r="Z11" s="2"/>
    </x:row>
    <x:row r="12" ht="15" hidden="0" customHeight="1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  <x:c r="V12" s="2"/>
      <x:c r="W12" s="2"/>
      <x:c r="X12" s="2"/>
      <x:c r="Y12" s="2"/>
      <x:c r="Z12" s="2"/>
    </x:row>
    <x:row r="13" ht="15" hidden="0" customHeight="1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  <x:c r="V13" s="2"/>
      <x:c r="W13" s="2"/>
      <x:c r="X13" s="2"/>
      <x:c r="Y13" s="2"/>
      <x:c r="Z13" s="2"/>
    </x:row>
    <x:row r="14" ht="15" hidden="0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  <x:c r="V14" s="2"/>
      <x:c r="W14" s="2"/>
      <x:c r="X14" s="2"/>
      <x:c r="Y14" s="2"/>
      <x:c r="Z14" s="2"/>
    </x:row>
    <x:row r="15" ht="15" hidden="0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2"/>
      <x:c r="Y15" s="2"/>
      <x:c r="Z15" s="2"/>
    </x:row>
    <x:row r="16" ht="15" hidden="0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2"/>
      <x:c r="Y16" s="2"/>
      <x:c r="Z16" s="2"/>
    </x:row>
    <x:row r="17" ht="15" hidden="0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2"/>
      <x:c r="Y17" s="2"/>
      <x:c r="Z17" s="2"/>
    </x:row>
    <x:row r="18" ht="15" hidden="0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  <x:c r="V18" s="2"/>
      <x:c r="W18" s="2"/>
      <x:c r="X18" s="2"/>
      <x:c r="Y18" s="2"/>
      <x:c r="Z18" s="2"/>
    </x:row>
    <x:row r="19" ht="15" hidden="0" customHeight="1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  <x:c r="V19" s="2"/>
      <x:c r="W19" s="2"/>
      <x:c r="X19" s="2"/>
      <x:c r="Y19" s="2"/>
      <x:c r="Z19" s="2"/>
    </x:row>
    <x:row r="20" ht="15" hidden="0" customHeight="1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  <x:c r="V20" s="2"/>
      <x:c r="W20" s="2"/>
      <x:c r="X20" s="2"/>
      <x:c r="Y20" s="2"/>
      <x:c r="Z20" s="2"/>
    </x:row>
    <x:row r="21" ht="15" hidden="0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  <x:c r="V21" s="2"/>
      <x:c r="W21" s="2"/>
      <x:c r="X21" s="2"/>
      <x:c r="Y21" s="2"/>
      <x:c r="Z21" s="2"/>
    </x:row>
    <x:row r="22" ht="15" hidden="0" customHeight="1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  <x:c r="V22" s="2"/>
      <x:c r="W22" s="2"/>
      <x:c r="X22" s="2"/>
      <x:c r="Y22" s="2"/>
      <x:c r="Z22" s="2"/>
    </x:row>
    <x:row r="23" ht="15" hidden="0" customHeight="1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  <x:c r="V23" s="2"/>
      <x:c r="W23" s="2"/>
      <x:c r="X23" s="2"/>
      <x:c r="Y23" s="2"/>
      <x:c r="Z23" s="2"/>
    </x:row>
    <x:row r="24" ht="15" hidden="0" customHeight="1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  <x:c r="V24" s="2"/>
      <x:c r="W24" s="2"/>
      <x:c r="X24" s="2"/>
      <x:c r="Y24" s="2"/>
      <x:c r="Z24" s="2"/>
    </x:row>
    <x:row r="25" ht="15" hidden="0" customHeight="1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  <x:c r="V25" s="2"/>
      <x:c r="W25" s="2"/>
      <x:c r="X25" s="2"/>
      <x:c r="Y25" s="2"/>
      <x:c r="Z25" s="2"/>
    </x:row>
    <x:row r="26" ht="15" hidden="0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  <x:c r="V26" s="2"/>
      <x:c r="W26" s="2"/>
      <x:c r="X26" s="2"/>
      <x:c r="Y26" s="2"/>
      <x:c r="Z26" s="2"/>
    </x:row>
    <x:row r="27" ht="15" hidden="0" customHeight="1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  <x:c r="V27" s="2"/>
      <x:c r="W27" s="2"/>
      <x:c r="X27" s="2"/>
      <x:c r="Y27" s="2"/>
      <x:c r="Z27" s="2"/>
    </x:row>
    <x:row r="28" ht="15" hidden="0" customHeight="1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  <x:c r="V28" s="2"/>
      <x:c r="W28" s="2"/>
      <x:c r="X28" s="2"/>
      <x:c r="Y28" s="2"/>
      <x:c r="Z28" s="2"/>
    </x:row>
    <x:row r="29" ht="15" hidden="0" customHeight="1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  <x:c r="V29" s="2"/>
      <x:c r="W29" s="2"/>
      <x:c r="X29" s="2"/>
      <x:c r="Y29" s="2"/>
      <x:c r="Z29" s="2"/>
    </x:row>
    <x:row r="30" ht="15" hidden="0" customHeight="1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  <x:c r="V30" s="2"/>
      <x:c r="W30" s="2"/>
      <x:c r="X30" s="2"/>
      <x:c r="Y30" s="2"/>
      <x:c r="Z30" s="2"/>
    </x:row>
    <x:row r="31" ht="15" hidden="0" customHeight="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  <x:c r="V31" s="2"/>
      <x:c r="W31" s="2"/>
      <x:c r="X31" s="2"/>
      <x:c r="Y31" s="2"/>
      <x:c r="Z31" s="2"/>
    </x:row>
    <x:row r="32" ht="15" hidden="0" customHeight="1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  <x:c r="V32" s="2"/>
      <x:c r="W32" s="2"/>
      <x:c r="X32" s="2"/>
      <x:c r="Y32" s="2"/>
      <x:c r="Z32" s="2"/>
    </x:row>
    <x:row r="33" ht="15" hidden="0" customHeight="1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  <x:c r="V33" s="2"/>
      <x:c r="W33" s="2"/>
      <x:c r="X33" s="2"/>
      <x:c r="Y33" s="2"/>
      <x:c r="Z33" s="2"/>
    </x:row>
    <x:row r="34" ht="15" hidden="0" customHeight="1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  <x:c r="V34" s="2"/>
      <x:c r="W34" s="2"/>
      <x:c r="X34" s="2"/>
      <x:c r="Y34" s="2"/>
      <x:c r="Z34" s="2"/>
    </x:row>
    <x:row r="35" ht="15" hidden="0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  <x:c r="V35" s="2"/>
      <x:c r="W35" s="2"/>
      <x:c r="X35" s="2"/>
      <x:c r="Y35" s="2"/>
      <x:c r="Z35" s="2"/>
    </x:row>
    <x:row r="36" ht="15" hidden="0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  <x:c r="V36" s="2"/>
      <x:c r="W36" s="2"/>
      <x:c r="X36" s="2"/>
      <x:c r="Y36" s="2"/>
      <x:c r="Z36" s="2"/>
    </x:row>
    <x:row r="37" ht="15" hidden="0" customHeight="1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  <x:c r="V37" s="2"/>
      <x:c r="W37" s="2"/>
      <x:c r="X37" s="2"/>
      <x:c r="Y37" s="2"/>
      <x:c r="Z37" s="2"/>
    </x:row>
    <x:row r="38" ht="15" hidden="0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  <x:c r="V38" s="2"/>
      <x:c r="W38" s="2"/>
      <x:c r="X38" s="2"/>
      <x:c r="Y38" s="2"/>
      <x:c r="Z38" s="2"/>
    </x:row>
    <x:row r="39" ht="15" hidden="0" customHeight="1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  <x:c r="V39" s="2"/>
      <x:c r="W39" s="2"/>
      <x:c r="X39" s="2"/>
      <x:c r="Y39" s="2"/>
      <x:c r="Z39" s="2"/>
    </x:row>
    <x:row r="40" ht="15" hidden="0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  <x:c r="V40" s="2"/>
      <x:c r="W40" s="2"/>
      <x:c r="X40" s="2"/>
      <x:c r="Y40" s="2"/>
      <x:c r="Z40" s="2"/>
    </x:row>
    <x:row r="41" ht="15" hidden="0" customHeight="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  <x:c r="V41" s="2"/>
      <x:c r="W41" s="2"/>
      <x:c r="X41" s="2"/>
      <x:c r="Y41" s="2"/>
      <x:c r="Z41" s="2"/>
    </x:row>
    <x:row r="42" ht="15" hidden="0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  <x:c r="V42" s="2"/>
      <x:c r="W42" s="2"/>
      <x:c r="X42" s="2"/>
      <x:c r="Y42" s="2"/>
      <x:c r="Z42" s="2"/>
    </x:row>
    <x:row r="43" ht="15" hidden="0" customHeight="1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  <x:c r="V43" s="2"/>
      <x:c r="W43" s="2"/>
      <x:c r="X43" s="2"/>
      <x:c r="Y43" s="2"/>
      <x:c r="Z43" s="2"/>
    </x:row>
    <x:row r="44" ht="15" hidden="0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  <x:c r="V44" s="2"/>
      <x:c r="W44" s="2"/>
      <x:c r="X44" s="2"/>
      <x:c r="Y44" s="2"/>
      <x:c r="Z44" s="2"/>
    </x:row>
    <x:row r="45" ht="15" hidden="0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  <x:c r="V45" s="2"/>
      <x:c r="W45" s="2"/>
      <x:c r="X45" s="2"/>
      <x:c r="Y45" s="2"/>
      <x:c r="Z45" s="2"/>
    </x:row>
    <x:row r="46" ht="15" hidden="0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  <x:c r="V46" s="2"/>
      <x:c r="W46" s="2"/>
      <x:c r="X46" s="2"/>
      <x:c r="Y46" s="2"/>
      <x:c r="Z46" s="2"/>
    </x:row>
    <x:row r="47" ht="15" hidden="0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  <x:c r="V47" s="2"/>
      <x:c r="W47" s="2"/>
      <x:c r="X47" s="2"/>
      <x:c r="Y47" s="2"/>
      <x:c r="Z47" s="2"/>
    </x:row>
    <x:row r="48" ht="15" hidden="0" customHeight="1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  <x:c r="V48" s="2"/>
      <x:c r="W48" s="2"/>
      <x:c r="X48" s="2"/>
      <x:c r="Y48" s="2"/>
      <x:c r="Z48" s="2"/>
    </x:row>
    <x:row r="49" ht="15" hidden="0" customHeight="1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  <x:c r="V49" s="2"/>
      <x:c r="W49" s="2"/>
      <x:c r="X49" s="2"/>
      <x:c r="Y49" s="2"/>
      <x:c r="Z49" s="2"/>
    </x:row>
    <x:row r="50" ht="15" hidden="0" customHeight="1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  <x:c r="V50" s="2"/>
      <x:c r="W50" s="2"/>
      <x:c r="X50" s="2"/>
      <x:c r="Y50" s="2"/>
      <x:c r="Z50" s="2"/>
    </x:row>
    <x:row r="51" ht="15" hidden="0" customHeight="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  <x:c r="V51" s="2"/>
      <x:c r="W51" s="2"/>
      <x:c r="X51" s="2"/>
      <x:c r="Y51" s="2"/>
      <x:c r="Z51" s="2"/>
    </x:row>
    <x:row r="52" ht="15" hidden="0" customHeight="1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  <x:c r="V52" s="2"/>
      <x:c r="W52" s="2"/>
      <x:c r="X52" s="2"/>
      <x:c r="Y52" s="2"/>
      <x:c r="Z52" s="2"/>
    </x:row>
    <x:row r="53" ht="15" hidden="0" customHeight="1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  <x:c r="V53" s="2"/>
      <x:c r="W53" s="2"/>
      <x:c r="X53" s="2"/>
      <x:c r="Y53" s="2"/>
      <x:c r="Z53" s="2"/>
    </x:row>
    <x:row r="54" ht="15" hidden="0" customHeight="1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  <x:c r="V54" s="2"/>
      <x:c r="W54" s="2"/>
      <x:c r="X54" s="2"/>
      <x:c r="Y54" s="2"/>
      <x:c r="Z54" s="2"/>
    </x:row>
    <x:row r="55" ht="15" hidden="0" customHeight="1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  <x:c r="V55" s="2"/>
      <x:c r="W55" s="2"/>
      <x:c r="X55" s="2"/>
      <x:c r="Y55" s="2"/>
      <x:c r="Z55" s="2"/>
    </x:row>
    <x:row r="56" ht="15" hidden="0" customHeight="1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  <x:c r="V56" s="2"/>
      <x:c r="W56" s="2"/>
      <x:c r="X56" s="2"/>
      <x:c r="Y56" s="2"/>
      <x:c r="Z56" s="2"/>
    </x:row>
    <x:row r="57" ht="15" hidden="0" customHeight="1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  <x:c r="V57" s="2"/>
      <x:c r="W57" s="2"/>
      <x:c r="X57" s="2"/>
      <x:c r="Y57" s="2"/>
      <x:c r="Z57" s="2"/>
    </x:row>
    <x:row r="58" ht="15" hidden="0" customHeight="1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  <x:c r="V58" s="2"/>
      <x:c r="W58" s="2"/>
      <x:c r="X58" s="2"/>
      <x:c r="Y58" s="2"/>
      <x:c r="Z58" s="2"/>
    </x:row>
    <x:row r="59" ht="15" hidden="0" customHeight="1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  <x:c r="V59" s="2"/>
      <x:c r="W59" s="2"/>
      <x:c r="X59" s="2"/>
      <x:c r="Y59" s="2"/>
      <x:c r="Z59" s="2"/>
    </x:row>
    <x:row r="60" ht="15" hidden="0" customHeight="1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  <x:c r="V60" s="2"/>
      <x:c r="W60" s="2"/>
      <x:c r="X60" s="2"/>
      <x:c r="Y60" s="2"/>
      <x:c r="Z60" s="2"/>
    </x:row>
    <x:row r="61" ht="15" hidden="0" customHeight="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  <x:c r="V61" s="2"/>
      <x:c r="W61" s="2"/>
      <x:c r="X61" s="2"/>
      <x:c r="Y61" s="2"/>
      <x:c r="Z61" s="2"/>
    </x:row>
    <x:row r="62" ht="15" hidden="0" customHeight="1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  <x:c r="V62" s="2"/>
      <x:c r="W62" s="2"/>
      <x:c r="X62" s="2"/>
      <x:c r="Y62" s="2"/>
      <x:c r="Z62" s="2"/>
    </x:row>
    <x:row r="63" ht="15" hidden="0" customHeight="1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  <x:c r="V63" s="2"/>
      <x:c r="W63" s="2"/>
      <x:c r="X63" s="2"/>
      <x:c r="Y63" s="2"/>
      <x:c r="Z63" s="2"/>
    </x:row>
    <x:row r="64" ht="15" hidden="0" customHeight="1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  <x:c r="V64" s="2"/>
      <x:c r="W64" s="2"/>
      <x:c r="X64" s="2"/>
      <x:c r="Y64" s="2"/>
      <x:c r="Z64" s="2"/>
    </x:row>
    <x:row r="65" ht="15" hidden="0" customHeight="1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  <x:c r="V65" s="2"/>
      <x:c r="W65" s="2"/>
      <x:c r="X65" s="2"/>
      <x:c r="Y65" s="2"/>
      <x:c r="Z65" s="2"/>
    </x:row>
    <x:row r="66" ht="15" hidden="0" customHeight="1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  <x:c r="V66" s="2"/>
      <x:c r="W66" s="2"/>
      <x:c r="X66" s="2"/>
      <x:c r="Y66" s="2"/>
      <x:c r="Z66" s="2"/>
    </x:row>
    <x:row r="67" ht="15" hidden="0" customHeight="1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  <x:c r="V67" s="2"/>
      <x:c r="W67" s="2"/>
      <x:c r="X67" s="2"/>
      <x:c r="Y67" s="2"/>
      <x:c r="Z67" s="2"/>
    </x:row>
    <x:row r="68" ht="15" hidden="0" customHeight="1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  <x:c r="V68" s="2"/>
      <x:c r="W68" s="2"/>
      <x:c r="X68" s="2"/>
      <x:c r="Y68" s="2"/>
      <x:c r="Z68" s="2"/>
    </x:row>
    <x:row r="69" ht="15" hidden="0" customHeight="1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  <x:c r="V69" s="2"/>
      <x:c r="W69" s="2"/>
      <x:c r="X69" s="2"/>
      <x:c r="Y69" s="2"/>
      <x:c r="Z69" s="2"/>
    </x:row>
    <x:row r="70" ht="15" hidden="0" customHeight="1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  <x:c r="V70" s="2"/>
      <x:c r="W70" s="2"/>
      <x:c r="X70" s="2"/>
      <x:c r="Y70" s="2"/>
      <x:c r="Z70" s="2"/>
    </x:row>
    <x:row r="71" ht="15" hidden="0" customHeight="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  <x:c r="V71" s="2"/>
      <x:c r="W71" s="2"/>
      <x:c r="X71" s="2"/>
      <x:c r="Y71" s="2"/>
      <x:c r="Z71" s="2"/>
    </x:row>
    <x:row r="72" ht="15" hidden="0" customHeight="1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  <x:c r="V72" s="2"/>
      <x:c r="W72" s="2"/>
      <x:c r="X72" s="2"/>
      <x:c r="Y72" s="2"/>
      <x:c r="Z72" s="2"/>
    </x:row>
    <x:row r="73" ht="15" hidden="0" customHeight="1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  <x:c r="V73" s="2"/>
      <x:c r="W73" s="2"/>
      <x:c r="X73" s="2"/>
      <x:c r="Y73" s="2"/>
      <x:c r="Z73" s="2"/>
    </x:row>
    <x:row r="74" ht="15" hidden="0" customHeight="1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  <x:c r="V74" s="2"/>
      <x:c r="W74" s="2"/>
      <x:c r="X74" s="2"/>
      <x:c r="Y74" s="2"/>
      <x:c r="Z74" s="2"/>
    </x:row>
    <x:row r="75" ht="15" hidden="0" customHeight="1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  <x:c r="V75" s="2"/>
      <x:c r="W75" s="2"/>
      <x:c r="X75" s="2"/>
      <x:c r="Y75" s="2"/>
      <x:c r="Z75" s="2"/>
    </x:row>
    <x:row r="76" ht="15" hidden="0" customHeight="1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  <x:c r="V76" s="2"/>
      <x:c r="W76" s="2"/>
      <x:c r="X76" s="2"/>
      <x:c r="Y76" s="2"/>
      <x:c r="Z76" s="2"/>
    </x:row>
    <x:row r="77" ht="15" hidden="0" customHeight="1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  <x:c r="V77" s="2"/>
      <x:c r="W77" s="2"/>
      <x:c r="X77" s="2"/>
      <x:c r="Y77" s="2"/>
      <x:c r="Z77" s="2"/>
    </x:row>
    <x:row r="78" ht="15" hidden="0" customHeight="1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  <x:c r="V78" s="2"/>
      <x:c r="W78" s="2"/>
      <x:c r="X78" s="2"/>
      <x:c r="Y78" s="2"/>
      <x:c r="Z78" s="2"/>
    </x:row>
    <x:row r="79" ht="15" hidden="0" customHeight="1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  <x:c r="V79" s="2"/>
      <x:c r="W79" s="2"/>
      <x:c r="X79" s="2"/>
      <x:c r="Y79" s="2"/>
      <x:c r="Z79" s="2"/>
    </x:row>
    <x:row r="80" ht="15" hidden="0" customHeight="1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  <x:c r="V80" s="2"/>
      <x:c r="W80" s="2"/>
      <x:c r="X80" s="2"/>
      <x:c r="Y80" s="2"/>
      <x:c r="Z80" s="2"/>
    </x:row>
    <x:row r="81" ht="15" hidden="0" customHeight="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  <x:c r="V81" s="2"/>
      <x:c r="W81" s="2"/>
      <x:c r="X81" s="2"/>
      <x:c r="Y81" s="2"/>
      <x:c r="Z81" s="2"/>
    </x:row>
    <x:row r="82" ht="15" hidden="0" customHeight="1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  <x:c r="V82" s="2"/>
      <x:c r="W82" s="2"/>
      <x:c r="X82" s="2"/>
      <x:c r="Y82" s="2"/>
      <x:c r="Z82" s="2"/>
    </x:row>
    <x:row r="83" ht="15" hidden="0" customHeight="1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  <x:c r="V83" s="2"/>
      <x:c r="W83" s="2"/>
      <x:c r="X83" s="2"/>
      <x:c r="Y83" s="2"/>
      <x:c r="Z83" s="2"/>
    </x:row>
    <x:row r="84" ht="15" hidden="0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  <x:c r="V84" s="2"/>
      <x:c r="W84" s="2"/>
      <x:c r="X84" s="2"/>
      <x:c r="Y84" s="2"/>
      <x:c r="Z84" s="2"/>
    </x:row>
    <x:row r="85" ht="15" hidden="0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  <x:c r="V85" s="2"/>
      <x:c r="W85" s="2"/>
      <x:c r="X85" s="2"/>
      <x:c r="Y85" s="2"/>
      <x:c r="Z85" s="2"/>
    </x:row>
    <x:row r="86" ht="15" hidden="0" customHeight="1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  <x:c r="V86" s="2"/>
      <x:c r="W86" s="2"/>
      <x:c r="X86" s="2"/>
      <x:c r="Y86" s="2"/>
      <x:c r="Z86" s="2"/>
    </x:row>
    <x:row r="87" ht="15" hidden="0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  <x:c r="V87" s="2"/>
      <x:c r="W87" s="2"/>
      <x:c r="X87" s="2"/>
      <x:c r="Y87" s="2"/>
      <x:c r="Z87" s="2"/>
    </x:row>
    <x:row r="88" ht="15" hidden="0" customHeight="1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  <x:c r="V88" s="2"/>
      <x:c r="W88" s="2"/>
      <x:c r="X88" s="2"/>
      <x:c r="Y88" s="2"/>
      <x:c r="Z88" s="2"/>
    </x:row>
    <x:row r="89" ht="15" hidden="0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  <x:c r="V89" s="2"/>
      <x:c r="W89" s="2"/>
      <x:c r="X89" s="2"/>
      <x:c r="Y89" s="2"/>
      <x:c r="Z89" s="2"/>
    </x:row>
    <x:row r="90" ht="15" hidden="0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  <x:c r="V90" s="2"/>
      <x:c r="W90" s="2"/>
      <x:c r="X90" s="2"/>
      <x:c r="Y90" s="2"/>
      <x:c r="Z90" s="2"/>
    </x:row>
    <x:row r="91" ht="15" hidden="0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  <x:c r="V91" s="2"/>
      <x:c r="W91" s="2"/>
      <x:c r="X91" s="2"/>
      <x:c r="Y91" s="2"/>
      <x:c r="Z91" s="2"/>
    </x:row>
    <x:row r="92" ht="15" hidden="0" customHeight="1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  <x:c r="V92" s="2"/>
      <x:c r="W92" s="2"/>
      <x:c r="X92" s="2"/>
      <x:c r="Y92" s="2"/>
      <x:c r="Z92" s="2"/>
    </x:row>
    <x:row r="93" ht="15" hidden="0" customHeight="1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  <x:c r="V93" s="2"/>
      <x:c r="W93" s="2"/>
      <x:c r="X93" s="2"/>
      <x:c r="Y93" s="2"/>
      <x:c r="Z93" s="2"/>
    </x:row>
    <x:row r="94" ht="15" hidden="0" customHeight="1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  <x:c r="V94" s="2"/>
      <x:c r="W94" s="2"/>
      <x:c r="X94" s="2"/>
      <x:c r="Y94" s="2"/>
      <x:c r="Z94" s="2"/>
    </x:row>
    <x:row r="95" ht="15" hidden="0" customHeight="1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  <x:c r="V95" s="2"/>
      <x:c r="W95" s="2"/>
      <x:c r="X95" s="2"/>
      <x:c r="Y95" s="2"/>
      <x:c r="Z95" s="2"/>
    </x:row>
    <x:row r="96" ht="15" hidden="0" customHeight="1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  <x:c r="V96" s="2"/>
      <x:c r="W96" s="2"/>
      <x:c r="X96" s="2"/>
      <x:c r="Y96" s="2"/>
      <x:c r="Z96" s="2"/>
    </x:row>
    <x:row r="97" ht="15" hidden="0" customHeight="1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  <x:c r="V97" s="2"/>
      <x:c r="W97" s="2"/>
      <x:c r="X97" s="2"/>
      <x:c r="Y97" s="2"/>
      <x:c r="Z97" s="2"/>
    </x:row>
    <x:row r="98" ht="15" hidden="0" customHeight="1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  <x:c r="V98" s="2"/>
      <x:c r="W98" s="2"/>
      <x:c r="X98" s="2"/>
      <x:c r="Y98" s="2"/>
      <x:c r="Z98" s="2"/>
    </x:row>
    <x:row r="99" ht="15" hidden="0" customHeight="1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</x:row>
    <x:row r="100" ht="15" hidden="0" customHeight="1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c901550bd684a0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7" hidden="0" customWidth="1"/>
    <x:col min="2" max="2" width="24" hidden="0" customWidth="1"/>
    <x:col min="3" max="3" width="95" hidden="0" customWidth="1"/>
    <x:col min="4" max="4" width="38" hidden="0" customWidth="1"/>
  </x:cols>
  <x:sheetData>
    <x:row r="1" ht="15" hidden="0" customHeight="1">
      <x:c r="A1" s="4" t="str">
        <x:v>NovaDrive Components, S.A. de C.V. | Prompts para ChatGPT</x:v>
      </x:c>
      <x:c r="B1" s="4"/>
      <x:c r="C1" s="4"/>
      <x:c r="D1" s="4"/>
    </x:row>
    <x:row r="2">
      <x:c r="A2" s="5" t="str">
        <x:v>Caso sintético para capacitación con ChatGPT gratuito | Corte: septiembre de 2026</x:v>
      </x:c>
      <x:c r="B2" s="5"/>
      <x:c r="C2" s="5"/>
      <x:c r="D2" s="5"/>
    </x:row>
    <x:row r="3" ht="15" hidden="0" customHeight="1">
      <x:c r="A3" s="2"/>
      <x:c r="B3" s="2"/>
      <x:c r="C3" s="2"/>
      <x:c r="D3" s="2"/>
    </x:row>
    <x:row r="4" ht="15" hidden="0" customHeight="1">
      <x:c r="A4" s="16" t="str">
        <x:v>N.º</x:v>
      </x:c>
      <x:c r="B4" s="16" t="str">
        <x:v>Ejercicio</x:v>
      </x:c>
      <x:c r="C4" s="16" t="str">
        <x:v>Prompt para copiar</x:v>
      </x:c>
      <x:c r="D4" s="16" t="str">
        <x:v>Resultado esperado</x:v>
      </x:c>
    </x:row>
    <x:row r="5" ht="15" hidden="0" customHeight="1">
      <x:c r="A5" s="2" t="n">
        <x:v>1</x:v>
      </x:c>
      <x:c r="B5" s="2" t="str">
        <x:v>Cobertura</x:v>
      </x:c>
      <x:c r="C5" s="2" t="str">
        <x:v>Analiza la cobertura actual y con crecimiento. Ordena materiales por urgencia y explica el criterio.</x:v>
      </x:c>
      <x:c r="D5" s="2" t="str">
        <x:v>Tabla priorizada</x:v>
      </x:c>
    </x:row>
    <x:row r="6" ht="15" hidden="0" customHeight="1">
      <x:c r="A6" s="2" t="n">
        <x:v>2</x:v>
      </x:c>
      <x:c r="B6" s="2" t="str">
        <x:v>Compras</x:v>
      </x:c>
      <x:c r="C6" s="2" t="str">
        <x:v>Genera preguntas para validar fechas, proveedores alternos y lotes mínimos.</x:v>
      </x:c>
      <x:c r="D6" s="2" t="str">
        <x:v>Preguntas verificables</x:v>
      </x:c>
    </x:row>
    <x:row r="7" ht="15" hidden="0" customHeight="1">
      <x:c r="A7" s="2" t="n">
        <x:v>3</x:v>
      </x:c>
      <x:c r="B7" s="2" t="str">
        <x:v>Dependencias</x:v>
      </x:c>
      <x:c r="C7" s="2" t="str">
        <x:v>¿Qué programas quedarían más expuestos si el conector HV se retrasa 10 días? Usa solo el archivo.</x:v>
      </x:c>
      <x:c r="D7" s="2" t="str">
        <x:v>Análisis de dependencia</x:v>
      </x:c>
    </x:row>
    <x:row r="8" ht="15" hidden="0" customHeight="1">
      <x:c r="A8" s="2" t="n">
        <x:v>4</x:v>
      </x:c>
      <x:c r="B8" s="2" t="str">
        <x:v>Crítica</x:v>
      </x:c>
      <x:c r="C8" s="2" t="str">
        <x:v>Separa datos medidos de supuestos y señala faltantes.</x:v>
      </x:c>
      <x:c r="D8" s="2" t="str">
        <x:v>Crítica metodológica</x:v>
      </x:c>
    </x:row>
    <x:row r="9" ht="15" hidden="0" customHeight="1">
      <x:c r="A9" s="2"/>
      <x:c r="B9" s="2"/>
      <x:c r="C9" s="2"/>
      <x:c r="D9" s="2"/>
    </x:row>
    <x:row r="10" ht="15" hidden="0" customHeight="1">
      <x:c r="A10" s="2"/>
      <x:c r="B10" s="2"/>
      <x:c r="C10" s="2"/>
      <x:c r="D10" s="2"/>
    </x:row>
    <x:row r="11" ht="15" hidden="0" customHeight="1">
      <x:c r="A11" s="2"/>
      <x:c r="B11" s="2"/>
      <x:c r="C11" s="2"/>
      <x:c r="D11" s="2"/>
    </x:row>
    <x:row r="12" ht="15" hidden="0" customHeight="1">
      <x:c r="A12" s="2"/>
      <x:c r="B12" s="2"/>
      <x:c r="C12" s="2"/>
      <x:c r="D12" s="2"/>
    </x:row>
    <x:row r="13" ht="15" hidden="0" customHeight="1">
      <x:c r="A13" s="2"/>
      <x:c r="B13" s="2"/>
      <x:c r="C13" s="2"/>
      <x:c r="D13" s="2"/>
    </x:row>
    <x:row r="14" ht="15" hidden="0" customHeight="1">
      <x:c r="A14" s="2"/>
      <x:c r="B14" s="2"/>
      <x:c r="C14" s="2"/>
      <x:c r="D14" s="2"/>
    </x:row>
    <x:row r="15" ht="15" hidden="0" customHeight="1">
      <x:c r="A15" s="2"/>
      <x:c r="B15" s="2"/>
      <x:c r="C15" s="2"/>
      <x:c r="D15" s="2"/>
    </x:row>
    <x:row r="16" ht="15" hidden="0" customHeight="1">
      <x:c r="A16" s="2"/>
      <x:c r="B16" s="2"/>
      <x:c r="C16" s="2"/>
      <x:c r="D16" s="2"/>
    </x:row>
    <x:row r="17" ht="15" hidden="0" customHeight="1">
      <x:c r="A17" s="2"/>
      <x:c r="B17" s="2"/>
      <x:c r="C17" s="2"/>
      <x:c r="D17" s="2"/>
    </x:row>
    <x:row r="18" ht="15" hidden="0" customHeight="1">
      <x:c r="A18" s="2"/>
      <x:c r="B18" s="2"/>
      <x:c r="C18" s="2"/>
      <x:c r="D18" s="2"/>
    </x:row>
    <x:row r="19" ht="15" hidden="0" customHeight="1">
      <x:c r="A19" s="2"/>
      <x:c r="B19" s="2"/>
      <x:c r="C19" s="2"/>
      <x:c r="D19" s="2"/>
    </x:row>
    <x:row r="20" ht="15" hidden="0" customHeight="1">
      <x:c r="A20" s="2"/>
      <x:c r="B20" s="2"/>
      <x:c r="C20" s="2"/>
      <x:c r="D20" s="2"/>
    </x:row>
  </x:sheetData>
  <x:mergeCells>
    <x:mergeCell ref="A1:D1"/>
    <x:mergeCell ref="A1:D2"/>
  </x:mergeCells>
  <x:pageMargins left="0.7" right="0.7" top="0.75" bottom="0.75" header="0.3" footer="0.3"/>
  <x:tableParts count="1">
    <x:tablePart xmlns:r="http://schemas.openxmlformats.org/officeDocument/2006/relationships" r:id="R30d5daa5f33b446d"/>
  </x:tableParts>
</x:worksheet>
</file>