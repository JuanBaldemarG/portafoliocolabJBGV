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K10" i="1" l="1"/>
  <c r="K8" i="1"/>
  <c r="J8" i="1"/>
  <c r="H3" i="1"/>
  <c r="H4" i="1"/>
  <c r="H5" i="1"/>
  <c r="H6" i="1"/>
  <c r="H7" i="1"/>
  <c r="H8" i="1"/>
  <c r="H9" i="1"/>
  <c r="H10" i="1"/>
  <c r="H11" i="1"/>
  <c r="H12" i="1"/>
  <c r="H2" i="1"/>
  <c r="G3" i="1" l="1"/>
  <c r="G4" i="1"/>
  <c r="G5" i="1"/>
  <c r="G6" i="1"/>
  <c r="G7" i="1"/>
  <c r="G8" i="1"/>
  <c r="G9" i="1"/>
  <c r="G10" i="1"/>
  <c r="G11" i="1"/>
  <c r="G12" i="1"/>
  <c r="G2" i="1"/>
  <c r="F4" i="1"/>
  <c r="F5" i="1"/>
  <c r="F6" i="1"/>
  <c r="F7" i="1"/>
  <c r="F8" i="1"/>
  <c r="F9" i="1"/>
  <c r="F10" i="1"/>
  <c r="F11" i="1"/>
  <c r="F12" i="1"/>
  <c r="F3" i="1"/>
  <c r="F2" i="1"/>
</calcChain>
</file>

<file path=xl/sharedStrings.xml><?xml version="1.0" encoding="utf-8"?>
<sst xmlns="http://schemas.openxmlformats.org/spreadsheetml/2006/main" count="21" uniqueCount="20">
  <si>
    <t xml:space="preserve">Actividad </t>
  </si>
  <si>
    <t xml:space="preserve">Optimista </t>
  </si>
  <si>
    <t>Más probable</t>
  </si>
  <si>
    <t>Pesimista</t>
  </si>
  <si>
    <t>Tiempo Esperado</t>
  </si>
  <si>
    <t>Desv Est</t>
  </si>
  <si>
    <t>Suma:</t>
  </si>
  <si>
    <t>El tiempo esperado de finalización de un proyecto es la suma de todos los tiempos esperados de las actividades sobre la ruta crítica</t>
  </si>
  <si>
    <t>Varianza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</si>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</sst>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/>
    <xf numFmtId="0" fontId="1" fillId="0" borderId="0" xfId="0" applyFont="1"/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5" workbookViewId="0">
      <selection activeCell="F25" sqref="F15:F25"/>
    </sheetView>
  </sheetViews>
  <sheetFormatPr baseColWidth="10" defaultRowHeight="15" x14ac:dyDescent="0.25"/>
  <cols>
    <col min="4" max="4" width="13" bestFit="1" customWidth="1"/>
    <col min="5" max="5" width="15.5703125" customWidth="1"/>
    <col min="6" max="6" width="16.42578125" bestFit="1" customWidth="1"/>
  </cols>
  <sheetData>
    <row r="1" spans="1:14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8</v>
      </c>
      <c r="I1" s="5"/>
      <c r="J1" s="4" t="s">
        <v>6</v>
      </c>
      <c r="K1" s="4" t="s">
        <v>8</v>
      </c>
      <c r="L1" s="8" t="s">
        <v>7</v>
      </c>
      <c r="M1" s="8"/>
      <c r="N1" s="8"/>
    </row>
    <row r="2" spans="1:14" x14ac:dyDescent="0.25">
      <c r="A2" s="7" t="s">
        <v>9</v>
      </c>
      <c r="B2" s="1">
        <v>1</v>
      </c>
      <c r="C2" s="1">
        <v>4</v>
      </c>
      <c r="D2" s="1">
        <v>7</v>
      </c>
      <c r="E2" s="1">
        <v>10</v>
      </c>
      <c r="F2" s="3">
        <f>(C2+4*D2+E2)/6</f>
        <v>7</v>
      </c>
      <c r="G2" s="3">
        <f>(E2-C2)/6</f>
        <v>1</v>
      </c>
      <c r="H2" s="3">
        <f>G2^2</f>
        <v>1</v>
      </c>
      <c r="J2" s="3">
        <v>7</v>
      </c>
      <c r="K2" s="7">
        <v>1</v>
      </c>
      <c r="L2" s="8"/>
      <c r="M2" s="8"/>
      <c r="N2" s="8"/>
    </row>
    <row r="3" spans="1:14" x14ac:dyDescent="0.25">
      <c r="A3" t="s">
        <v>10</v>
      </c>
      <c r="B3" s="1">
        <v>2</v>
      </c>
      <c r="C3" s="1">
        <v>2</v>
      </c>
      <c r="D3" s="1">
        <v>4</v>
      </c>
      <c r="E3" s="1">
        <v>8</v>
      </c>
      <c r="F3" s="2">
        <f>(C3+4*D3+E3)/6</f>
        <v>4.333333333333333</v>
      </c>
      <c r="G3" s="2">
        <f t="shared" ref="G3:G12" si="0">(E3-C3)/6</f>
        <v>1</v>
      </c>
      <c r="H3" s="2">
        <f t="shared" ref="H3:H12" si="1">G3^2</f>
        <v>1</v>
      </c>
      <c r="J3" s="3">
        <v>5</v>
      </c>
      <c r="K3" s="7">
        <v>1</v>
      </c>
      <c r="L3" s="8"/>
      <c r="M3" s="8"/>
      <c r="N3" s="8"/>
    </row>
    <row r="4" spans="1:14" x14ac:dyDescent="0.25">
      <c r="A4" s="7" t="s">
        <v>11</v>
      </c>
      <c r="B4" s="1">
        <v>3</v>
      </c>
      <c r="C4" s="1">
        <v>2</v>
      </c>
      <c r="D4" s="1">
        <v>5</v>
      </c>
      <c r="E4" s="1">
        <v>8</v>
      </c>
      <c r="F4" s="3">
        <f t="shared" ref="F4:F12" si="2">(C4+4*D4+E4)/6</f>
        <v>5</v>
      </c>
      <c r="G4" s="3">
        <f t="shared" si="0"/>
        <v>1</v>
      </c>
      <c r="H4" s="3">
        <f t="shared" si="1"/>
        <v>1</v>
      </c>
      <c r="J4" s="3">
        <v>20</v>
      </c>
      <c r="K4" s="7">
        <v>4</v>
      </c>
      <c r="L4" s="8"/>
      <c r="M4" s="8"/>
      <c r="N4" s="8"/>
    </row>
    <row r="5" spans="1:14" x14ac:dyDescent="0.25">
      <c r="A5" s="7" t="s">
        <v>12</v>
      </c>
      <c r="B5" s="1">
        <v>4</v>
      </c>
      <c r="C5" s="1">
        <v>16</v>
      </c>
      <c r="D5" s="1">
        <v>19</v>
      </c>
      <c r="E5" s="1">
        <v>28</v>
      </c>
      <c r="F5" s="3">
        <f t="shared" si="2"/>
        <v>20</v>
      </c>
      <c r="G5" s="3">
        <f t="shared" si="0"/>
        <v>2</v>
      </c>
      <c r="H5" s="3">
        <f t="shared" si="1"/>
        <v>4</v>
      </c>
      <c r="J5" s="3">
        <v>6</v>
      </c>
      <c r="K5" s="7">
        <v>4</v>
      </c>
    </row>
    <row r="6" spans="1:14" x14ac:dyDescent="0.25">
      <c r="A6" t="s">
        <v>13</v>
      </c>
      <c r="B6" s="1">
        <v>5</v>
      </c>
      <c r="C6" s="1">
        <v>6</v>
      </c>
      <c r="D6" s="1">
        <v>9</v>
      </c>
      <c r="E6" s="1">
        <v>24</v>
      </c>
      <c r="F6" s="2">
        <f t="shared" si="2"/>
        <v>11</v>
      </c>
      <c r="G6" s="2">
        <f t="shared" si="0"/>
        <v>3</v>
      </c>
      <c r="H6" s="2">
        <f t="shared" si="1"/>
        <v>9</v>
      </c>
      <c r="J6" s="3">
        <v>5</v>
      </c>
      <c r="K6" s="7">
        <v>1</v>
      </c>
    </row>
    <row r="7" spans="1:14" x14ac:dyDescent="0.25">
      <c r="A7" t="s">
        <v>14</v>
      </c>
      <c r="B7" s="1">
        <v>6</v>
      </c>
      <c r="C7" s="1">
        <v>1</v>
      </c>
      <c r="D7" s="1">
        <v>7</v>
      </c>
      <c r="E7" s="1">
        <v>13</v>
      </c>
      <c r="F7" s="2">
        <f t="shared" si="2"/>
        <v>7</v>
      </c>
      <c r="G7" s="2">
        <f t="shared" si="0"/>
        <v>2</v>
      </c>
      <c r="H7" s="2">
        <f t="shared" si="1"/>
        <v>4</v>
      </c>
      <c r="J7" s="3">
        <v>29.666666666666668</v>
      </c>
      <c r="K7" s="3">
        <v>21.777777777777782</v>
      </c>
    </row>
    <row r="8" spans="1:14" x14ac:dyDescent="0.25">
      <c r="A8" t="s">
        <v>15</v>
      </c>
      <c r="B8" s="1">
        <v>7</v>
      </c>
      <c r="C8" s="1">
        <v>4</v>
      </c>
      <c r="D8" s="1">
        <v>10</v>
      </c>
      <c r="E8" s="1">
        <v>28</v>
      </c>
      <c r="F8" s="2">
        <f t="shared" si="2"/>
        <v>12</v>
      </c>
      <c r="G8" s="2">
        <f t="shared" si="0"/>
        <v>4</v>
      </c>
      <c r="H8" s="2">
        <f t="shared" si="1"/>
        <v>16</v>
      </c>
      <c r="J8" s="2">
        <f>SUM(J2:J7)</f>
        <v>72.666666666666671</v>
      </c>
      <c r="K8" s="6">
        <f>SUM(K2:K7)</f>
        <v>32.777777777777786</v>
      </c>
    </row>
    <row r="9" spans="1:14" x14ac:dyDescent="0.25">
      <c r="A9" s="7" t="s">
        <v>16</v>
      </c>
      <c r="B9" s="1">
        <v>8</v>
      </c>
      <c r="C9" s="1">
        <v>2</v>
      </c>
      <c r="D9" s="1">
        <v>5</v>
      </c>
      <c r="E9" s="1">
        <v>14</v>
      </c>
      <c r="F9" s="3">
        <f t="shared" si="2"/>
        <v>6</v>
      </c>
      <c r="G9" s="3">
        <f t="shared" si="0"/>
        <v>2</v>
      </c>
      <c r="H9" s="3">
        <f t="shared" si="1"/>
        <v>4</v>
      </c>
    </row>
    <row r="10" spans="1:14" x14ac:dyDescent="0.25">
      <c r="A10" t="s">
        <v>17</v>
      </c>
      <c r="B10" s="1">
        <v>9</v>
      </c>
      <c r="C10" s="1">
        <v>5</v>
      </c>
      <c r="D10" s="1">
        <v>8</v>
      </c>
      <c r="E10" s="1">
        <v>17</v>
      </c>
      <c r="F10" s="2">
        <f t="shared" si="2"/>
        <v>9</v>
      </c>
      <c r="G10" s="2">
        <f t="shared" si="0"/>
        <v>2</v>
      </c>
      <c r="H10" s="2">
        <f t="shared" si="1"/>
        <v>4</v>
      </c>
      <c r="K10">
        <f>SQRT(32.78)</f>
        <v>5.7253820833198548</v>
      </c>
    </row>
    <row r="11" spans="1:14" x14ac:dyDescent="0.25">
      <c r="A11" s="7" t="s">
        <v>18</v>
      </c>
      <c r="B11" s="1">
        <v>10</v>
      </c>
      <c r="C11" s="1">
        <v>2</v>
      </c>
      <c r="D11" s="1">
        <v>5</v>
      </c>
      <c r="E11" s="1">
        <v>8</v>
      </c>
      <c r="F11" s="3">
        <f t="shared" si="2"/>
        <v>5</v>
      </c>
      <c r="G11" s="3">
        <f t="shared" si="0"/>
        <v>1</v>
      </c>
      <c r="H11" s="3">
        <f t="shared" si="1"/>
        <v>1</v>
      </c>
    </row>
    <row r="12" spans="1:14" x14ac:dyDescent="0.25">
      <c r="A12" s="7" t="s">
        <v>19</v>
      </c>
      <c r="B12" s="1">
        <v>11</v>
      </c>
      <c r="C12" s="1">
        <v>17</v>
      </c>
      <c r="D12" s="1">
        <v>29</v>
      </c>
      <c r="E12" s="1">
        <v>45</v>
      </c>
      <c r="F12" s="3">
        <f t="shared" si="2"/>
        <v>29.666666666666668</v>
      </c>
      <c r="G12" s="3">
        <f t="shared" si="0"/>
        <v>4.666666666666667</v>
      </c>
      <c r="H12" s="3">
        <f t="shared" si="1"/>
        <v>21.777777777777782</v>
      </c>
    </row>
    <row r="13" spans="1:14" x14ac:dyDescent="0.25">
      <c r="F13" s="2"/>
      <c r="G13" s="2"/>
    </row>
  </sheetData>
  <mergeCells count="1">
    <mergeCell ref="L1:N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IBC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Baldemar Garza Villegas</dc:creator>
  <cp:lastModifiedBy>Juan Baldemar Garza Villegas</cp:lastModifiedBy>
  <dcterms:created xsi:type="dcterms:W3CDTF">2014-01-20T18:20:58Z</dcterms:created>
  <dcterms:modified xsi:type="dcterms:W3CDTF">2014-03-09T22:06:10Z</dcterms:modified>
</cp:coreProperties>
</file>